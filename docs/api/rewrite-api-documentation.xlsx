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7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8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9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worksheets/sheet10.xml" ContentType="application/vnd.openxmlformats-officedocument.spreadsheetml.worksheet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worksheets/sheet11.xml" ContentType="application/vnd.openxmlformats-officedocument.spreadsheetml.worksheet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worksheets/sheet12.xml" ContentType="application/vnd.openxmlformats-officedocument.spreadsheetml.worksheet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3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worksheets/sheet14.xml" ContentType="application/vnd.openxmlformats-officedocument.spreadsheetml.worksheet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worksheets/sheet15.xml" ContentType="application/vnd.openxmlformats-officedocument.spreadsheetml.worksheet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worksheets/sheet16.xml" ContentType="application/vnd.openxmlformats-officedocument.spreadsheetml.worksheet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worksheets/sheet17.xml" ContentType="application/vnd.openxmlformats-officedocument.spreadsheetml.worksheet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worksheets/sheet18.xml" ContentType="application/vnd.openxmlformats-officedocument.spreadsheetml.worksheet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9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worksheets/sheet20.xml" ContentType="application/vnd.openxmlformats-officedocument.spreadsheetml.worksheet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worksheets/sheet21.xml" ContentType="application/vnd.openxmlformats-officedocument.spreadsheetml.worksheet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worksheets/sheet22.xml" ContentType="application/vnd.openxmlformats-officedocument.spreadsheetml.worksheet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23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4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5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6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worksheets/sheet27.xml" ContentType="application/vnd.openxmlformats-officedocument.spreadsheetml.worksheet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worksheets/sheet28.xml" ContentType="application/vnd.openxmlformats-officedocument.spreadsheetml.worksheet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worksheets/sheet29.xml" ContentType="application/vnd.openxmlformats-officedocument.spreadsheetml.worksheet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worksheets/sheet30.xml" ContentType="application/vnd.openxmlformats-officedocument.spreadsheetml.worksheet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f45321b72d4e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I 목차" sheetId="1" r:id="R7f18d43850614b83"/>
    <x:sheet xmlns:r="http://schemas.openxmlformats.org/officeDocument/2006/relationships" name="API-001" sheetId="2" r:id="R243160b847a84c0d"/>
    <x:sheet xmlns:r="http://schemas.openxmlformats.org/officeDocument/2006/relationships" name="API-002" sheetId="3" r:id="Rc413c9d8bf214d58"/>
    <x:sheet xmlns:r="http://schemas.openxmlformats.org/officeDocument/2006/relationships" name="API-003" sheetId="4" r:id="R4aa61c3ab49248d2"/>
    <x:sheet xmlns:r="http://schemas.openxmlformats.org/officeDocument/2006/relationships" name="API-004" sheetId="5" r:id="Re0009991ee7749b5"/>
    <x:sheet xmlns:r="http://schemas.openxmlformats.org/officeDocument/2006/relationships" name="API-005" sheetId="6" r:id="R74e00fc5d0f74089"/>
    <x:sheet xmlns:r="http://schemas.openxmlformats.org/officeDocument/2006/relationships" name="API-006" sheetId="7" r:id="R38620b709b5147fc"/>
    <x:sheet xmlns:r="http://schemas.openxmlformats.org/officeDocument/2006/relationships" name="API-007" sheetId="8" r:id="R635b36c099b04d8d"/>
    <x:sheet xmlns:r="http://schemas.openxmlformats.org/officeDocument/2006/relationships" name="API-008" sheetId="9" r:id="R79820dd2b0504661"/>
    <x:sheet xmlns:r="http://schemas.openxmlformats.org/officeDocument/2006/relationships" name="API-009" sheetId="10" r:id="Rad1ab6cdff154d38"/>
    <x:sheet xmlns:r="http://schemas.openxmlformats.org/officeDocument/2006/relationships" name="API-010" sheetId="11" r:id="R68ca506a644b433a"/>
    <x:sheet xmlns:r="http://schemas.openxmlformats.org/officeDocument/2006/relationships" name="API-011" sheetId="12" r:id="Rd5447b5db7da40c4"/>
    <x:sheet xmlns:r="http://schemas.openxmlformats.org/officeDocument/2006/relationships" name="API-012" sheetId="13" r:id="R4090ca5b4db84510"/>
    <x:sheet xmlns:r="http://schemas.openxmlformats.org/officeDocument/2006/relationships" name="API-013" sheetId="14" r:id="R83dd57447ad74ed2"/>
    <x:sheet xmlns:r="http://schemas.openxmlformats.org/officeDocument/2006/relationships" name="API-014" sheetId="15" r:id="Rbbfa66e237334b06"/>
    <x:sheet xmlns:r="http://schemas.openxmlformats.org/officeDocument/2006/relationships" name="API-015" sheetId="16" r:id="Rd6a6e534d25c42b1"/>
    <x:sheet xmlns:r="http://schemas.openxmlformats.org/officeDocument/2006/relationships" name="API-016" sheetId="17" r:id="R81f8c0ca1a364f2a"/>
    <x:sheet xmlns:r="http://schemas.openxmlformats.org/officeDocument/2006/relationships" name="API-017" sheetId="18" r:id="R29dd80afdb13497f"/>
    <x:sheet xmlns:r="http://schemas.openxmlformats.org/officeDocument/2006/relationships" name="API-018" sheetId="19" r:id="R5f315bc2974042d4"/>
    <x:sheet xmlns:r="http://schemas.openxmlformats.org/officeDocument/2006/relationships" name="API-019" sheetId="20" r:id="Ra88289667bff4e4c"/>
    <x:sheet xmlns:r="http://schemas.openxmlformats.org/officeDocument/2006/relationships" name="API-020" sheetId="21" r:id="Re7a5663375ec4b44"/>
    <x:sheet xmlns:r="http://schemas.openxmlformats.org/officeDocument/2006/relationships" name="API-021" sheetId="22" r:id="Ra769baa1731a4c1f"/>
    <x:sheet xmlns:r="http://schemas.openxmlformats.org/officeDocument/2006/relationships" name="API-022" sheetId="23" r:id="R33ed7bbf7a964b44"/>
    <x:sheet xmlns:r="http://schemas.openxmlformats.org/officeDocument/2006/relationships" name="API-023" sheetId="24" r:id="R340280cbc3914863"/>
    <x:sheet xmlns:r="http://schemas.openxmlformats.org/officeDocument/2006/relationships" name="API-024" sheetId="25" r:id="Rd7fce9aaffac496d"/>
    <x:sheet xmlns:r="http://schemas.openxmlformats.org/officeDocument/2006/relationships" name="API-025" sheetId="26" r:id="Rd103f9be89b24c9b"/>
    <x:sheet xmlns:r="http://schemas.openxmlformats.org/officeDocument/2006/relationships" name="API-026" sheetId="27" r:id="Ra819aafb47c34d20"/>
    <x:sheet xmlns:r="http://schemas.openxmlformats.org/officeDocument/2006/relationships" name="API-027" sheetId="28" r:id="R61dee9be5f3945e0"/>
    <x:sheet xmlns:r="http://schemas.openxmlformats.org/officeDocument/2006/relationships" name="API-028" sheetId="29" r:id="R87ed7ae87d4244f8"/>
    <x:sheet xmlns:r="http://schemas.openxmlformats.org/officeDocument/2006/relationships" name="API-029" sheetId="30" r:id="Rb419c72b57d34c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 hh:mm:ss"/>
  </x:numFmts>
  <x:fonts count="9">
    <x:font>
      <x:sz val="11"/>
      <x:name val="Carlito"/>
    </x:font>
    <x:font>
      <x:b/>
      <x:sz val="20"/>
      <x:color rgb="FFFFFFFF"/>
      <x:name val="Carlito"/>
    </x:font>
    <x:font>
      <x:i/>
      <x:sz val="11"/>
      <x:color rgb="FF595959"/>
      <x:name val="Carlito"/>
    </x:font>
    <x:font>
      <x:b/>
      <x:sz val="11"/>
      <x:color rgb="FF222222"/>
      <x:name val="Carlito"/>
    </x:font>
    <x:font>
      <x:b/>
      <x:sz val="11"/>
      <x:color rgb="FF595959"/>
      <x:name val="Carlito"/>
    </x:font>
    <x:font>
      <x:b/>
      <x:sz val="18"/>
      <x:color rgb="FFFFFFFF"/>
      <x:name val="Carlito"/>
    </x:font>
    <x:font>
      <x:b/>
      <x:sz val="11"/>
      <x:color rgb="FF3F3F3F"/>
      <x:name val="Carlito"/>
    </x:font>
    <x:font>
      <x:b/>
      <x:sz val="12"/>
      <x:color rgb="FFFFFFFF"/>
      <x:name val="Carlito"/>
    </x:font>
    <x:font>
      <x:sz val="9"/>
      <x:color rgb="FF22222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F3F3F"/>
      </x:patternFill>
    </x:fill>
    <x:fill>
      <x:patternFill patternType="solid">
        <x:fgColor rgb="FFF2F2F2"/>
      </x:patternFill>
    </x:fill>
    <x:fill>
      <x:patternFill patternType="solid">
        <x:fgColor rgb="FFD9D9D9"/>
      </x:patternFill>
    </x:fill>
    <x:fill>
      <x:patternFill patternType="solid">
        <x:fgColor rgb="FFFFFFFF"/>
      </x:patternFill>
    </x:fill>
    <x:fill>
      <x:patternFill patternType="solid">
        <x:fgColor rgb="FF595959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</x:borders>
  <x:cellStyleXfs count="1">
    <x:xf numFmtId="0" fontId="0" fillId="0" borderId="8"/>
  </x:cellStyleXfs>
  <x:cellXfs count="118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1" xfId="0"/>
    <x:xf numFmtId="0" fontId="3" fillId="4" borderId="2" xfId="0"/>
    <x:xf numFmtId="0" fontId="3" fillId="4" borderId="3" xfId="0"/>
    <x:xf numFmtId="0" fontId="0" fillId="5" borderId="0" xfId="0"/>
    <x:xf numFmtId="0" fontId="0" fillId="5" borderId="4" xfId="0"/>
    <x:xf numFmtId="0" fontId="0" fillId="5" borderId="5" xfId="0"/>
    <x:xf numFmtId="0" fontId="0" fillId="5" borderId="6" xfId="0"/>
    <x:xf numFmtId="0" fontId="0" fillId="5" borderId="7" xfId="0"/>
    <x:xf numFmtId="0" fontId="0" fillId="5" borderId="8" xfId="0"/>
    <x:xf numFmtId="0" fontId="0" fillId="5" borderId="9" xfId="0"/>
    <x:xf numFmtId="0" fontId="0" fillId="5" borderId="10" xfId="0"/>
    <x:xf numFmtId="0" fontId="0" fillId="5" borderId="11" xfId="0"/>
    <x:xf numFmtId="0" fontId="0" fillId="5" borderId="12" xfId="0"/>
    <x:xf numFmtId="0" fontId="4" fillId="5" borderId="4" xfId="0"/>
    <x:xf numFmtId="0" fontId="4" fillId="5" borderId="7" xfId="0"/>
    <x:xf numFmtId="0" fontId="4" fillId="5" borderId="10" xfId="0"/>
    <x:xf numFmtId="0" fontId="4" fillId="5" borderId="6" xfId="0"/>
    <x:xf numFmtId="0" fontId="4" fillId="5" borderId="9" xfId="0"/>
    <x:xf numFmtId="0" fontId="4" fillId="5" borderId="12" xfId="0"/>
    <x:xf numFmtId="164" fontId="0" fillId="5" borderId="5" xfId="0"/>
    <x:xf numFmtId="164" fontId="0" fillId="5" borderId="8" xfId="0"/>
    <x:xf numFmtId="164" fontId="0" fillId="5" borderId="11" xfId="0"/>
    <x:xf numFmtId="0" fontId="3" fillId="4" borderId="1" xfId="0" applyAlignment="1">
      <x:alignment vertical="top"/>
    </x:xf>
    <x:xf numFmtId="0" fontId="3" fillId="4" borderId="2" xfId="0" applyAlignment="1">
      <x:alignment vertical="top"/>
    </x:xf>
    <x:xf numFmtId="0" fontId="3" fillId="4" borderId="3" xfId="0" applyAlignment="1">
      <x:alignment vertical="top"/>
    </x:xf>
    <x:xf numFmtId="0" fontId="4" fillId="5" borderId="4" xfId="0" applyAlignment="1">
      <x:alignment vertical="top"/>
    </x:xf>
    <x:xf numFmtId="0" fontId="0" fillId="5" borderId="5" xfId="0" applyAlignment="1">
      <x:alignment vertical="top"/>
    </x:xf>
    <x:xf numFmtId="164" fontId="0" fillId="5" borderId="5" xfId="0" applyAlignment="1">
      <x:alignment vertical="top"/>
    </x:xf>
    <x:xf numFmtId="0" fontId="4" fillId="5" borderId="6" xfId="0" applyAlignment="1">
      <x:alignment vertical="top"/>
    </x:xf>
    <x:xf numFmtId="0" fontId="4" fillId="5" borderId="7" xfId="0" applyAlignment="1">
      <x:alignment vertical="top"/>
    </x:xf>
    <x:xf numFmtId="0" fontId="0" fillId="5" borderId="8" xfId="0" applyAlignment="1">
      <x:alignment vertical="top"/>
    </x:xf>
    <x:xf numFmtId="164" fontId="0" fillId="5" borderId="8" xfId="0" applyAlignment="1">
      <x:alignment vertical="top"/>
    </x:xf>
    <x:xf numFmtId="0" fontId="4" fillId="5" borderId="9" xfId="0" applyAlignment="1">
      <x:alignment vertical="top"/>
    </x:xf>
    <x:xf numFmtId="0" fontId="4" fillId="5" borderId="10" xfId="0" applyAlignment="1">
      <x:alignment vertical="top"/>
    </x:xf>
    <x:xf numFmtId="0" fontId="0" fillId="5" borderId="11" xfId="0" applyAlignment="1">
      <x:alignment vertical="top"/>
    </x:xf>
    <x:xf numFmtId="164" fontId="0" fillId="5" borderId="11" xfId="0" applyAlignment="1">
      <x:alignment vertical="top"/>
    </x:xf>
    <x:xf numFmtId="0" fontId="4" fillId="5" borderId="12" xfId="0" applyAlignment="1">
      <x:alignment vertical="top"/>
    </x:xf>
    <x:xf numFmtId="0" fontId="0" fillId="5" borderId="5" xfId="0" applyAlignment="1">
      <x:alignment vertical="top" wrapText="1"/>
    </x:xf>
    <x:xf numFmtId="0" fontId="0" fillId="5" borderId="8" xfId="0" applyAlignment="1">
      <x:alignment vertical="top" wrapText="1"/>
    </x:xf>
    <x:xf numFmtId="0" fontId="0" fillId="5" borderId="11" xfId="0" applyAlignment="1">
      <x:alignment vertical="top" wrapText="1"/>
    </x:xf>
    <x:xf numFmtId="0" fontId="5" fillId="2" borderId="0" xfId="0"/>
    <x:xf numFmtId="0" fontId="5" fillId="2" borderId="0" xfId="0" applyAlignment="1">
      <x:alignment vertical="center"/>
    </x:xf>
    <x:xf numFmtId="0" fontId="4" fillId="0" borderId="0" xfId="0"/>
    <x:xf numFmtId="0" fontId="6" fillId="3" borderId="0" xfId="0"/>
    <x:xf numFmtId="0" fontId="6" fillId="3" borderId="0" xfId="0" applyAlignment="1">
      <x:alignment horizontal="right"/>
    </x:xf>
    <x:xf numFmtId="0" fontId="6" fillId="3" borderId="0" xfId="0" applyAlignment="1">
      <x:alignment horizontal="right" vertical="center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5" borderId="4" xfId="0" applyAlignment="1">
      <x:alignment wrapText="1"/>
    </x:xf>
    <x:xf numFmtId="0" fontId="0" fillId="5" borderId="5" xfId="0" applyAlignment="1">
      <x:alignment wrapText="1"/>
    </x:xf>
    <x:xf numFmtId="0" fontId="0" fillId="5" borderId="6" xfId="0" applyAlignment="1">
      <x:alignment wrapText="1"/>
    </x:xf>
    <x:xf numFmtId="0" fontId="0" fillId="5" borderId="7" xfId="0" applyAlignment="1">
      <x:alignment wrapText="1"/>
    </x:xf>
    <x:xf numFmtId="0" fontId="0" fillId="5" borderId="8" xfId="0" applyAlignment="1">
      <x:alignment wrapText="1"/>
    </x:xf>
    <x:xf numFmtId="0" fontId="0" fillId="5" borderId="9" xfId="0" applyAlignment="1">
      <x:alignment wrapText="1"/>
    </x:xf>
    <x:xf numFmtId="0" fontId="0" fillId="5" borderId="10" xfId="0" applyAlignment="1">
      <x:alignment wrapText="1"/>
    </x:xf>
    <x:xf numFmtId="0" fontId="0" fillId="5" borderId="11" xfId="0" applyAlignment="1">
      <x:alignment wrapText="1"/>
    </x:xf>
    <x:xf numFmtId="0" fontId="0" fillId="5" borderId="12" xfId="0" applyAlignment="1">
      <x:alignment wrapText="1"/>
    </x:xf>
    <x:xf numFmtId="0" fontId="0" fillId="5" borderId="4" xfId="0" applyAlignment="1">
      <x:alignment vertical="top" wrapText="1"/>
    </x:xf>
    <x:xf numFmtId="0" fontId="0" fillId="5" borderId="6" xfId="0" applyAlignment="1">
      <x:alignment vertical="top" wrapText="1"/>
    </x:xf>
    <x:xf numFmtId="0" fontId="0" fillId="5" borderId="7" xfId="0" applyAlignment="1">
      <x:alignment vertical="top" wrapText="1"/>
    </x:xf>
    <x:xf numFmtId="0" fontId="0" fillId="5" borderId="9" xfId="0" applyAlignment="1">
      <x:alignment vertical="top" wrapText="1"/>
    </x:xf>
    <x:xf numFmtId="0" fontId="0" fillId="5" borderId="10" xfId="0" applyAlignment="1">
      <x:alignment vertical="top" wrapText="1"/>
    </x:xf>
    <x:xf numFmtId="0" fontId="0" fillId="5" borderId="12" xfId="0" applyAlignment="1">
      <x:alignment vertical="top" wrapText="1"/>
    </x:xf>
    <x:xf numFmtId="0" fontId="0" fillId="3" borderId="4" xfId="0" applyAlignment="1">
      <x:alignment vertical="top" wrapText="1"/>
    </x:xf>
    <x:xf numFmtId="0" fontId="0" fillId="3" borderId="7" xfId="0" applyAlignment="1">
      <x:alignment vertical="top" wrapText="1"/>
    </x:xf>
    <x:xf numFmtId="0" fontId="0" fillId="3" borderId="10" xfId="0" applyAlignment="1">
      <x:alignment vertical="top" wrapText="1"/>
    </x:xf>
    <x:xf numFmtId="0" fontId="6" fillId="3" borderId="4" xfId="0" applyAlignment="1">
      <x:alignment vertical="top" wrapText="1"/>
    </x:xf>
    <x:xf numFmtId="0" fontId="6" fillId="3" borderId="7" xfId="0" applyAlignment="1">
      <x:alignment vertical="top" wrapText="1"/>
    </x:xf>
    <x:xf numFmtId="0" fontId="6" fillId="3" borderId="10" xfId="0" applyAlignment="1">
      <x:alignment vertical="top" wrapText="1"/>
    </x:xf>
    <x:xf numFmtId="0" fontId="0" fillId="3" borderId="5" xfId="0" applyAlignment="1">
      <x:alignment vertical="top" wrapText="1"/>
    </x:xf>
    <x:xf numFmtId="0" fontId="0" fillId="3" borderId="8" xfId="0" applyAlignment="1">
      <x:alignment vertical="top" wrapText="1"/>
    </x:xf>
    <x:xf numFmtId="0" fontId="0" fillId="3" borderId="11" xfId="0" applyAlignment="1">
      <x:alignment vertical="top" wrapText="1"/>
    </x:xf>
    <x:xf numFmtId="0" fontId="6" fillId="3" borderId="5" xfId="0" applyAlignment="1">
      <x:alignment vertical="top" wrapText="1"/>
    </x:xf>
    <x:xf numFmtId="0" fontId="6" fillId="3" borderId="8" xfId="0" applyAlignment="1">
      <x:alignment vertical="top" wrapText="1"/>
    </x:xf>
    <x:xf numFmtId="0" fontId="6" fillId="3" borderId="11" xfId="0" applyAlignment="1">
      <x:alignment vertical="top" wrapText="1"/>
    </x:xf>
    <x:xf numFmtId="164" fontId="0" fillId="5" borderId="11" xfId="0" applyAlignment="1">
      <x:alignment vertical="top" wrapText="1"/>
    </x:xf>
    <x:xf numFmtId="0" fontId="8" fillId="3" borderId="0" xfId="0"/>
    <x:xf numFmtId="0" fontId="8" fillId="3" borderId="13" xfId="0"/>
    <x:xf numFmtId="0" fontId="8" fillId="3" borderId="14" xfId="0"/>
    <x:xf numFmtId="0" fontId="8" fillId="3" borderId="15" xfId="0"/>
    <x:xf numFmtId="0" fontId="8" fillId="3" borderId="13" xfId="0" applyAlignment="1">
      <x:alignment wrapText="1"/>
    </x:xf>
    <x:xf numFmtId="0" fontId="8" fillId="3" borderId="14" xfId="0" applyAlignment="1">
      <x:alignment wrapText="1"/>
    </x:xf>
    <x:xf numFmtId="0" fontId="8" fillId="3" borderId="15" xfId="0" applyAlignment="1">
      <x:alignment wrapText="1"/>
    </x:xf>
    <x:xf numFmtId="0" fontId="8" fillId="3" borderId="13" xfId="0" applyAlignment="1">
      <x:alignment vertical="top" wrapText="1"/>
    </x:xf>
    <x:xf numFmtId="0" fontId="8" fillId="3" borderId="14" xfId="0" applyAlignment="1">
      <x:alignment vertical="top" wrapText="1"/>
    </x:xf>
    <x:xf numFmtId="0" fontId="8" fillId="3" borderId="15" xfId="0" applyAlignment="1">
      <x:alignment vertical="top" wrapText="1"/>
    </x:xf>
    <x:xf numFmtId="0" fontId="0" fillId="5" borderId="1" xfId="0"/>
    <x:xf numFmtId="0" fontId="0" fillId="5" borderId="2" xfId="0"/>
    <x:xf numFmtId="0" fontId="0" fillId="5" borderId="3" xfId="0"/>
    <x:xf numFmtId="0" fontId="0" fillId="5" borderId="1" xfId="0" applyAlignment="1">
      <x:alignment wrapText="1"/>
    </x:xf>
    <x:xf numFmtId="0" fontId="0" fillId="5" borderId="2" xfId="0" applyAlignment="1">
      <x:alignment wrapText="1"/>
    </x:xf>
    <x:xf numFmtId="0" fontId="0" fillId="5" borderId="3" xfId="0" applyAlignment="1">
      <x:alignment wrapText="1"/>
    </x:xf>
    <x:xf numFmtId="0" fontId="0" fillId="5" borderId="1" xfId="0" applyAlignment="1">
      <x:alignment vertical="top" wrapText="1"/>
    </x:xf>
    <x:xf numFmtId="0" fontId="0" fillId="5" borderId="2" xfId="0" applyAlignment="1">
      <x:alignment vertical="top" wrapText="1"/>
    </x:xf>
    <x:xf numFmtId="0" fontId="0" fillId="5" borderId="3" xfId="0" applyAlignment="1">
      <x:alignment vertical="top" wrapText="1"/>
    </x:xf>
    <x:xf numFmtId="0" fontId="1" fillId="2" borderId="8" xfId="0" applyAlignment="1">
      <x:alignment vertical="center"/>
    </x:xf>
    <x:xf numFmtId="0" fontId="0" fillId="0" borderId="8" xfId="0"/>
    <x:xf numFmtId="0" fontId="2" fillId="3" borderId="8" xfId="0" applyAlignment="1">
      <x:alignment vertical="center"/>
    </x:xf>
    <x:xf numFmtId="164" fontId="0" fillId="5" borderId="5" xfId="0" applyAlignment="1">
      <x:alignment vertical="top"/>
    </x:xf>
    <x:xf numFmtId="164" fontId="0" fillId="5" borderId="8" xfId="0" applyAlignment="1">
      <x:alignment vertical="top"/>
    </x:xf>
    <x:xf numFmtId="164" fontId="0" fillId="5" borderId="11" xfId="0" applyAlignment="1">
      <x:alignment vertical="top"/>
    </x:xf>
    <x:xf numFmtId="0" fontId="5" fillId="2" borderId="8" xfId="0" applyAlignment="1">
      <x:alignment vertical="center"/>
    </x:xf>
    <x:xf numFmtId="0" fontId="6" fillId="3" borderId="8" xfId="0" applyAlignment="1">
      <x:alignment horizontal="right" vertical="center"/>
    </x:xf>
    <x:xf numFmtId="0" fontId="7" fillId="6" borderId="8" xfId="0" applyAlignment="1">
      <x:alignment vertical="center"/>
    </x:xf>
    <x:xf numFmtId="164" fontId="0" fillId="5" borderId="11" xfId="0" applyAlignment="1">
      <x:alignment vertical="top" wrapText="1"/>
    </x:xf>
    <x:xf numFmtId="0" fontId="8" fillId="3" borderId="16" xfId="0" applyAlignment="1">
      <x:alignment vertical="top" wrapText="1"/>
    </x:xf>
    <x:xf numFmtId="0" fontId="0" fillId="0" borderId="14" xfId="0"/>
    <x:xf numFmtId="0" fontId="0" fillId="0" borderId="15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662f0ec69f4634" /><Relationship Type="http://schemas.openxmlformats.org/officeDocument/2006/relationships/theme" Target="/xl/theme/theme1.xml" Id="R9a7a783daf524fe0" /><Relationship Type="http://schemas.openxmlformats.org/officeDocument/2006/relationships/sharedStrings" Target="/xl/sharedStrings.xml" Id="R1a350deee4154226" /><Relationship Type="http://schemas.openxmlformats.org/officeDocument/2006/relationships/worksheet" Target="/xl/worksheets/sheet1.xml" Id="R7f18d43850614b83" /><Relationship Type="http://schemas.openxmlformats.org/officeDocument/2006/relationships/worksheet" Target="/xl/worksheets/sheet2.xml" Id="R243160b847a84c0d" /><Relationship Type="http://schemas.openxmlformats.org/officeDocument/2006/relationships/worksheet" Target="/xl/worksheets/sheet3.xml" Id="Rc413c9d8bf214d58" /><Relationship Type="http://schemas.openxmlformats.org/officeDocument/2006/relationships/worksheet" Target="/xl/worksheets/sheet4.xml" Id="R4aa61c3ab49248d2" /><Relationship Type="http://schemas.openxmlformats.org/officeDocument/2006/relationships/worksheet" Target="/xl/worksheets/sheet5.xml" Id="Re0009991ee7749b5" /><Relationship Type="http://schemas.openxmlformats.org/officeDocument/2006/relationships/worksheet" Target="/xl/worksheets/sheet6.xml" Id="R74e00fc5d0f74089" /><Relationship Type="http://schemas.openxmlformats.org/officeDocument/2006/relationships/worksheet" Target="/xl/worksheets/sheet7.xml" Id="R38620b709b5147fc" /><Relationship Type="http://schemas.openxmlformats.org/officeDocument/2006/relationships/worksheet" Target="/xl/worksheets/sheet8.xml" Id="R635b36c099b04d8d" /><Relationship Type="http://schemas.openxmlformats.org/officeDocument/2006/relationships/worksheet" Target="/xl/worksheets/sheet9.xml" Id="R79820dd2b0504661" /><Relationship Type="http://schemas.openxmlformats.org/officeDocument/2006/relationships/worksheet" Target="/xl/worksheets/sheet10.xml" Id="Rad1ab6cdff154d38" /><Relationship Type="http://schemas.openxmlformats.org/officeDocument/2006/relationships/worksheet" Target="/xl/worksheets/sheet11.xml" Id="R68ca506a644b433a" /><Relationship Type="http://schemas.openxmlformats.org/officeDocument/2006/relationships/worksheet" Target="/xl/worksheets/sheet12.xml" Id="Rd5447b5db7da40c4" /><Relationship Type="http://schemas.openxmlformats.org/officeDocument/2006/relationships/worksheet" Target="/xl/worksheets/sheet13.xml" Id="R4090ca5b4db84510" /><Relationship Type="http://schemas.openxmlformats.org/officeDocument/2006/relationships/worksheet" Target="/xl/worksheets/sheet14.xml" Id="R83dd57447ad74ed2" /><Relationship Type="http://schemas.openxmlformats.org/officeDocument/2006/relationships/worksheet" Target="/xl/worksheets/sheet15.xml" Id="Rbbfa66e237334b06" /><Relationship Type="http://schemas.openxmlformats.org/officeDocument/2006/relationships/worksheet" Target="/xl/worksheets/sheet16.xml" Id="Rd6a6e534d25c42b1" /><Relationship Type="http://schemas.openxmlformats.org/officeDocument/2006/relationships/worksheet" Target="/xl/worksheets/sheet17.xml" Id="R81f8c0ca1a364f2a" /><Relationship Type="http://schemas.openxmlformats.org/officeDocument/2006/relationships/worksheet" Target="/xl/worksheets/sheet18.xml" Id="R29dd80afdb13497f" /><Relationship Type="http://schemas.openxmlformats.org/officeDocument/2006/relationships/worksheet" Target="/xl/worksheets/sheet19.xml" Id="R5f315bc2974042d4" /><Relationship Type="http://schemas.openxmlformats.org/officeDocument/2006/relationships/worksheet" Target="/xl/worksheets/sheet20.xml" Id="Ra88289667bff4e4c" /><Relationship Type="http://schemas.openxmlformats.org/officeDocument/2006/relationships/worksheet" Target="/xl/worksheets/sheet21.xml" Id="Re7a5663375ec4b44" /><Relationship Type="http://schemas.openxmlformats.org/officeDocument/2006/relationships/worksheet" Target="/xl/worksheets/sheet22.xml" Id="Ra769baa1731a4c1f" /><Relationship Type="http://schemas.openxmlformats.org/officeDocument/2006/relationships/worksheet" Target="/xl/worksheets/sheet23.xml" Id="R33ed7bbf7a964b44" /><Relationship Type="http://schemas.openxmlformats.org/officeDocument/2006/relationships/worksheet" Target="/xl/worksheets/sheet24.xml" Id="R340280cbc3914863" /><Relationship Type="http://schemas.openxmlformats.org/officeDocument/2006/relationships/worksheet" Target="/xl/worksheets/sheet25.xml" Id="Rd7fce9aaffac496d" /><Relationship Type="http://schemas.openxmlformats.org/officeDocument/2006/relationships/worksheet" Target="/xl/worksheets/sheet26.xml" Id="Rd103f9be89b24c9b" /><Relationship Type="http://schemas.openxmlformats.org/officeDocument/2006/relationships/worksheet" Target="/xl/worksheets/sheet27.xml" Id="Ra819aafb47c34d20" /><Relationship Type="http://schemas.openxmlformats.org/officeDocument/2006/relationships/worksheet" Target="/xl/worksheets/sheet28.xml" Id="R61dee9be5f3945e0" /><Relationship Type="http://schemas.openxmlformats.org/officeDocument/2006/relationships/worksheet" Target="/xl/worksheets/sheet29.xml" Id="R87ed7ae87d4244f8" /><Relationship Type="http://schemas.openxmlformats.org/officeDocument/2006/relationships/worksheet" Target="/xl/worksheets/sheet30.xml" Id="Rb419c72b57d34cab" /></Relationships>
</file>

<file path=xl/tables/table1.xml><?xml version="1.0" encoding="utf-8"?>
<x:table xmlns:x="http://schemas.openxmlformats.org/spreadsheetml/2006/main" id="1" name="ApiIndex" displayName="ApiIndex" ref="A5:H34" headerRowCount="1" totalsRowCount="0" totalsRowShown="0">
  <x:tableColumns count="8">
    <x:tableColumn id="1" name="API ID"/>
    <x:tableColumn id="2" name="Method"/>
    <x:tableColumn id="3" name="Path"/>
    <x:tableColumn id="4" name="기능"/>
    <x:tableColumn id="5" name="가용 상태"/>
    <x:tableColumn id="6" name="성공 상태"/>
    <x:tableColumn id="7" name="최근 변경"/>
    <x:tableColumn id="8" name="상세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Req001" displayName="Req001" ref="A17:E18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s001" displayName="Res001" ref="A21:D22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Err001" displayName="Err001" ref="A25:E26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Req002" displayName="Req002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Res002" displayName="Res002" ref="A22:D24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Err002" displayName="Err002" ref="A27:E29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Req003" displayName="Req003" ref="A17:E18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Res003" displayName="Res003" ref="A21:D22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Err003" displayName="Err003" ref="A25:E27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Req004" displayName="Req004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12.xml><?xml version="1.0" encoding="utf-8"?>
<x:table xmlns:x="http://schemas.openxmlformats.org/spreadsheetml/2006/main" id="12" name="Res004" displayName="Res004" ref="A22:D23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13.xml><?xml version="1.0" encoding="utf-8"?>
<x:table xmlns:x="http://schemas.openxmlformats.org/spreadsheetml/2006/main" id="13" name="Err004" displayName="Err004" ref="A26:E29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14.xml><?xml version="1.0" encoding="utf-8"?>
<x:table xmlns:x="http://schemas.openxmlformats.org/spreadsheetml/2006/main" id="14" name="Req005" displayName="Req005" ref="A17:E18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15.xml><?xml version="1.0" encoding="utf-8"?>
<x:table xmlns:x="http://schemas.openxmlformats.org/spreadsheetml/2006/main" id="15" name="Res005" displayName="Res005" ref="A21:D26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16.xml><?xml version="1.0" encoding="utf-8"?>
<x:table xmlns:x="http://schemas.openxmlformats.org/spreadsheetml/2006/main" id="16" name="Err005" displayName="Err005" ref="A29:E31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17.xml><?xml version="1.0" encoding="utf-8"?>
<x:table xmlns:x="http://schemas.openxmlformats.org/spreadsheetml/2006/main" id="17" name="Req006" displayName="Req006" ref="A17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18.xml><?xml version="1.0" encoding="utf-8"?>
<x:table xmlns:x="http://schemas.openxmlformats.org/spreadsheetml/2006/main" id="18" name="Res006" displayName="Res006" ref="A23:D24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19.xml><?xml version="1.0" encoding="utf-8"?>
<x:table xmlns:x="http://schemas.openxmlformats.org/spreadsheetml/2006/main" id="19" name="Err006" displayName="Err006" ref="A27:E30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20.xml><?xml version="1.0" encoding="utf-8"?>
<x:table xmlns:x="http://schemas.openxmlformats.org/spreadsheetml/2006/main" id="20" name="Req007" displayName="Req007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21.xml><?xml version="1.0" encoding="utf-8"?>
<x:table xmlns:x="http://schemas.openxmlformats.org/spreadsheetml/2006/main" id="21" name="Res007" displayName="Res007" ref="A24:D36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22.xml><?xml version="1.0" encoding="utf-8"?>
<x:table xmlns:x="http://schemas.openxmlformats.org/spreadsheetml/2006/main" id="22" name="Err007" displayName="Err007" ref="A39:E42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23.xml><?xml version="1.0" encoding="utf-8"?>
<x:table xmlns:x="http://schemas.openxmlformats.org/spreadsheetml/2006/main" id="23" name="Req008" displayName="Req008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24.xml><?xml version="1.0" encoding="utf-8"?>
<x:table xmlns:x="http://schemas.openxmlformats.org/spreadsheetml/2006/main" id="24" name="Res008" displayName="Res008" ref="A22:D25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25.xml><?xml version="1.0" encoding="utf-8"?>
<x:table xmlns:x="http://schemas.openxmlformats.org/spreadsheetml/2006/main" id="25" name="Err008" displayName="Err008" ref="A28:E31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26.xml><?xml version="1.0" encoding="utf-8"?>
<x:table xmlns:x="http://schemas.openxmlformats.org/spreadsheetml/2006/main" id="26" name="Req009" displayName="Req009" ref="A17:E24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27.xml><?xml version="1.0" encoding="utf-8"?>
<x:table xmlns:x="http://schemas.openxmlformats.org/spreadsheetml/2006/main" id="27" name="Res009" displayName="Res009" ref="A27:D34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28.xml><?xml version="1.0" encoding="utf-8"?>
<x:table xmlns:x="http://schemas.openxmlformats.org/spreadsheetml/2006/main" id="28" name="Err009" displayName="Err009" ref="A37:E43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29.xml><?xml version="1.0" encoding="utf-8"?>
<x:table xmlns:x="http://schemas.openxmlformats.org/spreadsheetml/2006/main" id="29" name="Req010" displayName="Req010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30.xml><?xml version="1.0" encoding="utf-8"?>
<x:table xmlns:x="http://schemas.openxmlformats.org/spreadsheetml/2006/main" id="30" name="Res010" displayName="Res010" ref="A24:D28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31.xml><?xml version="1.0" encoding="utf-8"?>
<x:table xmlns:x="http://schemas.openxmlformats.org/spreadsheetml/2006/main" id="31" name="Err010" displayName="Err010" ref="A31:E37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32.xml><?xml version="1.0" encoding="utf-8"?>
<x:table xmlns:x="http://schemas.openxmlformats.org/spreadsheetml/2006/main" id="32" name="Req011" displayName="Req011" ref="A17:E24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33.xml><?xml version="1.0" encoding="utf-8"?>
<x:table xmlns:x="http://schemas.openxmlformats.org/spreadsheetml/2006/main" id="33" name="Res011" displayName="Res011" ref="A27:D35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34.xml><?xml version="1.0" encoding="utf-8"?>
<x:table xmlns:x="http://schemas.openxmlformats.org/spreadsheetml/2006/main" id="34" name="Err011" displayName="Err011" ref="A38:E44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35.xml><?xml version="1.0" encoding="utf-8"?>
<x:table xmlns:x="http://schemas.openxmlformats.org/spreadsheetml/2006/main" id="35" name="Req012" displayName="Req012" ref="A18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36.xml><?xml version="1.0" encoding="utf-8"?>
<x:table xmlns:x="http://schemas.openxmlformats.org/spreadsheetml/2006/main" id="36" name="Res012" displayName="Res012" ref="A23:D55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37.xml><?xml version="1.0" encoding="utf-8"?>
<x:table xmlns:x="http://schemas.openxmlformats.org/spreadsheetml/2006/main" id="37" name="Err012" displayName="Err012" ref="A58:E61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38.xml><?xml version="1.0" encoding="utf-8"?>
<x:table xmlns:x="http://schemas.openxmlformats.org/spreadsheetml/2006/main" id="38" name="Req013" displayName="Req013" ref="A17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39.xml><?xml version="1.0" encoding="utf-8"?>
<x:table xmlns:x="http://schemas.openxmlformats.org/spreadsheetml/2006/main" id="39" name="Res013" displayName="Res013" ref="A23:D25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40.xml><?xml version="1.0" encoding="utf-8"?>
<x:table xmlns:x="http://schemas.openxmlformats.org/spreadsheetml/2006/main" id="40" name="Err013" displayName="Err013" ref="A28:E32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41.xml><?xml version="1.0" encoding="utf-8"?>
<x:table xmlns:x="http://schemas.openxmlformats.org/spreadsheetml/2006/main" id="41" name="Req014" displayName="Req014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42.xml><?xml version="1.0" encoding="utf-8"?>
<x:table xmlns:x="http://schemas.openxmlformats.org/spreadsheetml/2006/main" id="42" name="Res014" displayName="Res014" ref="A24:D28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43.xml><?xml version="1.0" encoding="utf-8"?>
<x:table xmlns:x="http://schemas.openxmlformats.org/spreadsheetml/2006/main" id="43" name="Err014" displayName="Err014" ref="A31:E37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44.xml><?xml version="1.0" encoding="utf-8"?>
<x:table xmlns:x="http://schemas.openxmlformats.org/spreadsheetml/2006/main" id="44" name="Req015" displayName="Req015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45.xml><?xml version="1.0" encoding="utf-8"?>
<x:table xmlns:x="http://schemas.openxmlformats.org/spreadsheetml/2006/main" id="45" name="Res015" displayName="Res015" ref="A22:D42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46.xml><?xml version="1.0" encoding="utf-8"?>
<x:table xmlns:x="http://schemas.openxmlformats.org/spreadsheetml/2006/main" id="46" name="Err015" displayName="Err015" ref="A45:E48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47.xml><?xml version="1.0" encoding="utf-8"?>
<x:table xmlns:x="http://schemas.openxmlformats.org/spreadsheetml/2006/main" id="47" name="Req016" displayName="Req016" ref="A17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48.xml><?xml version="1.0" encoding="utf-8"?>
<x:table xmlns:x="http://schemas.openxmlformats.org/spreadsheetml/2006/main" id="48" name="Res016" displayName="Res016" ref="A23:D25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49.xml><?xml version="1.0" encoding="utf-8"?>
<x:table xmlns:x="http://schemas.openxmlformats.org/spreadsheetml/2006/main" id="49" name="Err016" displayName="Err016" ref="A28:E31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50.xml><?xml version="1.0" encoding="utf-8"?>
<x:table xmlns:x="http://schemas.openxmlformats.org/spreadsheetml/2006/main" id="50" name="Req017" displayName="Req017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51.xml><?xml version="1.0" encoding="utf-8"?>
<x:table xmlns:x="http://schemas.openxmlformats.org/spreadsheetml/2006/main" id="51" name="Res017" displayName="Res017" ref="A22:D27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52.xml><?xml version="1.0" encoding="utf-8"?>
<x:table xmlns:x="http://schemas.openxmlformats.org/spreadsheetml/2006/main" id="52" name="Err017" displayName="Err017" ref="A30:E33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53.xml><?xml version="1.0" encoding="utf-8"?>
<x:table xmlns:x="http://schemas.openxmlformats.org/spreadsheetml/2006/main" id="53" name="Req018" displayName="Req018" ref="A18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54.xml><?xml version="1.0" encoding="utf-8"?>
<x:table xmlns:x="http://schemas.openxmlformats.org/spreadsheetml/2006/main" id="54" name="Res018" displayName="Res018" ref="A24:D43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55.xml><?xml version="1.0" encoding="utf-8"?>
<x:table xmlns:x="http://schemas.openxmlformats.org/spreadsheetml/2006/main" id="55" name="Err018" displayName="Err018" ref="A46:E49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56.xml><?xml version="1.0" encoding="utf-8"?>
<x:table xmlns:x="http://schemas.openxmlformats.org/spreadsheetml/2006/main" id="56" name="Req019" displayName="Req019" ref="A17:E24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57.xml><?xml version="1.0" encoding="utf-8"?>
<x:table xmlns:x="http://schemas.openxmlformats.org/spreadsheetml/2006/main" id="57" name="Res019" displayName="Res019" ref="A27:D34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58.xml><?xml version="1.0" encoding="utf-8"?>
<x:table xmlns:x="http://schemas.openxmlformats.org/spreadsheetml/2006/main" id="58" name="Err019" displayName="Err019" ref="A37:E43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59.xml><?xml version="1.0" encoding="utf-8"?>
<x:table xmlns:x="http://schemas.openxmlformats.org/spreadsheetml/2006/main" id="59" name="Req020" displayName="Req020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60.xml><?xml version="1.0" encoding="utf-8"?>
<x:table xmlns:x="http://schemas.openxmlformats.org/spreadsheetml/2006/main" id="60" name="Res020" displayName="Res020" ref="A24:D28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61.xml><?xml version="1.0" encoding="utf-8"?>
<x:table xmlns:x="http://schemas.openxmlformats.org/spreadsheetml/2006/main" id="61" name="Err020" displayName="Err020" ref="A31:E37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62.xml><?xml version="1.0" encoding="utf-8"?>
<x:table xmlns:x="http://schemas.openxmlformats.org/spreadsheetml/2006/main" id="62" name="Req021" displayName="Req021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63.xml><?xml version="1.0" encoding="utf-8"?>
<x:table xmlns:x="http://schemas.openxmlformats.org/spreadsheetml/2006/main" id="63" name="Res021" displayName="Res021" ref="A22:D26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64.xml><?xml version="1.0" encoding="utf-8"?>
<x:table xmlns:x="http://schemas.openxmlformats.org/spreadsheetml/2006/main" id="64" name="Err021" displayName="Err021" ref="A29:E32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65.xml><?xml version="1.0" encoding="utf-8"?>
<x:table xmlns:x="http://schemas.openxmlformats.org/spreadsheetml/2006/main" id="65" name="Req022" displayName="Req022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66.xml><?xml version="1.0" encoding="utf-8"?>
<x:table xmlns:x="http://schemas.openxmlformats.org/spreadsheetml/2006/main" id="66" name="Res022" displayName="Res022" ref="A24:D27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67.xml><?xml version="1.0" encoding="utf-8"?>
<x:table xmlns:x="http://schemas.openxmlformats.org/spreadsheetml/2006/main" id="67" name="Err022" displayName="Err022" ref="A30:E35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68.xml><?xml version="1.0" encoding="utf-8"?>
<x:table xmlns:x="http://schemas.openxmlformats.org/spreadsheetml/2006/main" id="68" name="Req023" displayName="Req023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69.xml><?xml version="1.0" encoding="utf-8"?>
<x:table xmlns:x="http://schemas.openxmlformats.org/spreadsheetml/2006/main" id="69" name="Res023" displayName="Res023" ref="A24:D27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70.xml><?xml version="1.0" encoding="utf-8"?>
<x:table xmlns:x="http://schemas.openxmlformats.org/spreadsheetml/2006/main" id="70" name="Err023" displayName="Err023" ref="A30:E36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71.xml><?xml version="1.0" encoding="utf-8"?>
<x:table xmlns:x="http://schemas.openxmlformats.org/spreadsheetml/2006/main" id="71" name="Req024" displayName="Req024" ref="A17:E21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72.xml><?xml version="1.0" encoding="utf-8"?>
<x:table xmlns:x="http://schemas.openxmlformats.org/spreadsheetml/2006/main" id="72" name="Res024" displayName="Res024" ref="A24:D28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73.xml><?xml version="1.0" encoding="utf-8"?>
<x:table xmlns:x="http://schemas.openxmlformats.org/spreadsheetml/2006/main" id="73" name="Err024" displayName="Err024" ref="A31:E37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74.xml><?xml version="1.0" encoding="utf-8"?>
<x:table xmlns:x="http://schemas.openxmlformats.org/spreadsheetml/2006/main" id="74" name="Req025" displayName="Req025" ref="A17:E19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75.xml><?xml version="1.0" encoding="utf-8"?>
<x:table xmlns:x="http://schemas.openxmlformats.org/spreadsheetml/2006/main" id="75" name="Res025" displayName="Res025" ref="A22:D28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76.xml><?xml version="1.0" encoding="utf-8"?>
<x:table xmlns:x="http://schemas.openxmlformats.org/spreadsheetml/2006/main" id="76" name="Err025" displayName="Err025" ref="A31:E34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77.xml><?xml version="1.0" encoding="utf-8"?>
<x:table xmlns:x="http://schemas.openxmlformats.org/spreadsheetml/2006/main" id="77" name="Req026" displayName="Req026" ref="A18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78.xml><?xml version="1.0" encoding="utf-8"?>
<x:table xmlns:x="http://schemas.openxmlformats.org/spreadsheetml/2006/main" id="78" name="Res026" displayName="Res026" ref="A23:D30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79.xml><?xml version="1.0" encoding="utf-8"?>
<x:table xmlns:x="http://schemas.openxmlformats.org/spreadsheetml/2006/main" id="79" name="Err026" displayName="Err026" ref="A33:E36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80.xml><?xml version="1.0" encoding="utf-8"?>
<x:table xmlns:x="http://schemas.openxmlformats.org/spreadsheetml/2006/main" id="80" name="Req027" displayName="Req027" ref="A17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81.xml><?xml version="1.0" encoding="utf-8"?>
<x:table xmlns:x="http://schemas.openxmlformats.org/spreadsheetml/2006/main" id="81" name="Res027" displayName="Res027" ref="A23:D27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82.xml><?xml version="1.0" encoding="utf-8"?>
<x:table xmlns:x="http://schemas.openxmlformats.org/spreadsheetml/2006/main" id="82" name="Err027" displayName="Err027" ref="A30:E36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83.xml><?xml version="1.0" encoding="utf-8"?>
<x:table xmlns:x="http://schemas.openxmlformats.org/spreadsheetml/2006/main" id="83" name="Req028" displayName="Req028" ref="A17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84.xml><?xml version="1.0" encoding="utf-8"?>
<x:table xmlns:x="http://schemas.openxmlformats.org/spreadsheetml/2006/main" id="84" name="Res028" displayName="Res028" ref="A23:D24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85.xml><?xml version="1.0" encoding="utf-8"?>
<x:table xmlns:x="http://schemas.openxmlformats.org/spreadsheetml/2006/main" id="85" name="Err028" displayName="Err028" ref="A27:E31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ables/table86.xml><?xml version="1.0" encoding="utf-8"?>
<x:table xmlns:x="http://schemas.openxmlformats.org/spreadsheetml/2006/main" id="86" name="Req029" displayName="Req029" ref="A18:E20" headerRowCount="1" totalsRowCount="0" totalsRowShown="0">
  <x:tableColumns count="5">
    <x:tableColumn id="1" name="위치"/>
    <x:tableColumn id="2" name="필드 경로"/>
    <x:tableColumn id="3" name="타입"/>
    <x:tableColumn id="4" name="필수 여부"/>
    <x:tableColumn id="5" name="의미·제약"/>
  </x:tableColumns>
  <x:tableStyleInfo name="TableStyleLight1" showFirstColumn="0" showLastColumn="0" showRowStripes="1" showColumnStripes="0"/>
</x:table>
</file>

<file path=xl/tables/table87.xml><?xml version="1.0" encoding="utf-8"?>
<x:table xmlns:x="http://schemas.openxmlformats.org/spreadsheetml/2006/main" id="87" name="Res029" displayName="Res029" ref="A23:D35" headerRowCount="1" totalsRowCount="0" totalsRowShown="0">
  <x:tableColumns count="4">
    <x:tableColumn id="1" name="필드 경로"/>
    <x:tableColumn id="2" name="타입"/>
    <x:tableColumn id="3" name="필수/nullable"/>
    <x:tableColumn id="4" name="필드 의미"/>
  </x:tableColumns>
  <x:tableStyleInfo name="TableStyleLight1" showFirstColumn="0" showLastColumn="0" showRowStripes="1" showColumnStripes="0"/>
</x:table>
</file>

<file path=xl/tables/table88.xml><?xml version="1.0" encoding="utf-8"?>
<x:table xmlns:x="http://schemas.openxmlformats.org/spreadsheetml/2006/main" id="88" name="Err029" displayName="Err029" ref="A38:E41" headerRowCount="1" totalsRowCount="0" totalsRowShown="0">
  <x:tableColumns count="5">
    <x:tableColumn id="1" name="HTTP 상태"/>
    <x:tableColumn id="2" name="오류 코드"/>
    <x:tableColumn id="3" name="발생 조건"/>
    <x:tableColumn id="4" name="프론트 처리"/>
    <x:tableColumn id="5" name="현재 상태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91765ec62541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ebffc8a1964974" /><Relationship Type="http://schemas.openxmlformats.org/officeDocument/2006/relationships/table" Target="/xl/tables/table3.xml" Id="R45bd60cc37c24f13" /><Relationship Type="http://schemas.openxmlformats.org/officeDocument/2006/relationships/table" Target="/xl/tables/table4.xml" Id="R8b248085730645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e71f3275e31343d8" /><Relationship Type="http://schemas.openxmlformats.org/officeDocument/2006/relationships/table" Target="/xl/tables/table6.xml" Id="Rf6e5b6d315eb44c5" /><Relationship Type="http://schemas.openxmlformats.org/officeDocument/2006/relationships/table" Target="/xl/tables/table7.xml" Id="Rffe176b852bf4a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42d42212d15b4839" /><Relationship Type="http://schemas.openxmlformats.org/officeDocument/2006/relationships/table" Target="/xl/tables/table9.xml" Id="R7e4947b0013a4c43" /><Relationship Type="http://schemas.openxmlformats.org/officeDocument/2006/relationships/table" Target="/xl/tables/table10.xml" Id="R547f524710b043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1.xml" Id="Re69a32a2ad834a29" /><Relationship Type="http://schemas.openxmlformats.org/officeDocument/2006/relationships/table" Target="/xl/tables/table12.xml" Id="Re188fd20ea1649b8" /><Relationship Type="http://schemas.openxmlformats.org/officeDocument/2006/relationships/table" Target="/xl/tables/table13.xml" Id="R474cfd80b923411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4.xml" Id="R16e14694d0d240eb" /><Relationship Type="http://schemas.openxmlformats.org/officeDocument/2006/relationships/table" Target="/xl/tables/table15.xml" Id="R623e2835275644d9" /><Relationship Type="http://schemas.openxmlformats.org/officeDocument/2006/relationships/table" Target="/xl/tables/table16.xml" Id="R88ec0a258c394fd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7.xml" Id="R6af4ed3df41742a3" /><Relationship Type="http://schemas.openxmlformats.org/officeDocument/2006/relationships/table" Target="/xl/tables/table18.xml" Id="R8f345a34f03447d7" /><Relationship Type="http://schemas.openxmlformats.org/officeDocument/2006/relationships/table" Target="/xl/tables/table19.xml" Id="Re3540c3ca99845a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20.xml" Id="Rdc826239002a4b08" /><Relationship Type="http://schemas.openxmlformats.org/officeDocument/2006/relationships/table" Target="/xl/tables/table21.xml" Id="Reee6ca72b34b4d86" /><Relationship Type="http://schemas.openxmlformats.org/officeDocument/2006/relationships/table" Target="/xl/tables/table22.xml" Id="Rd8bf1a6c45dc457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3.xml" Id="R52edf04a731445b5" /><Relationship Type="http://schemas.openxmlformats.org/officeDocument/2006/relationships/table" Target="/xl/tables/table24.xml" Id="R44d837701410448f" /><Relationship Type="http://schemas.openxmlformats.org/officeDocument/2006/relationships/table" Target="/xl/tables/table25.xml" Id="R312cb06aa61644b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26.xml" Id="Rc74b13b2be4c44ad" /><Relationship Type="http://schemas.openxmlformats.org/officeDocument/2006/relationships/table" Target="/xl/tables/table27.xml" Id="Rfb83874707914238" /><Relationship Type="http://schemas.openxmlformats.org/officeDocument/2006/relationships/table" Target="/xl/tables/table28.xml" Id="Rc1284e038dd445c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9.xml" Id="Rc4092e1266894aad" /><Relationship Type="http://schemas.openxmlformats.org/officeDocument/2006/relationships/table" Target="/xl/tables/table30.xml" Id="R9b36de561f014088" /><Relationship Type="http://schemas.openxmlformats.org/officeDocument/2006/relationships/table" Target="/xl/tables/table31.xml" Id="R7742ce75e37e402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32.xml" Id="R727de08f9a044dcb" /><Relationship Type="http://schemas.openxmlformats.org/officeDocument/2006/relationships/table" Target="/xl/tables/table33.xml" Id="R859ea779dd6945de" /><Relationship Type="http://schemas.openxmlformats.org/officeDocument/2006/relationships/table" Target="/xl/tables/table34.xml" Id="Rb7e9a4ec83d14d1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35.xml" Id="Rdce6eba2b5af4e06" /><Relationship Type="http://schemas.openxmlformats.org/officeDocument/2006/relationships/table" Target="/xl/tables/table36.xml" Id="Rd85cd13c6e334960" /><Relationship Type="http://schemas.openxmlformats.org/officeDocument/2006/relationships/table" Target="/xl/tables/table37.xml" Id="Ref5d015ceed5432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8.xml" Id="Racdc9dd2399746c1" /><Relationship Type="http://schemas.openxmlformats.org/officeDocument/2006/relationships/table" Target="/xl/tables/table39.xml" Id="R758facc79ab54862" /><Relationship Type="http://schemas.openxmlformats.org/officeDocument/2006/relationships/table" Target="/xl/tables/table40.xml" Id="Rd4c51d0e26054dd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1.xml" Id="R275b7abc4c27405a" /><Relationship Type="http://schemas.openxmlformats.org/officeDocument/2006/relationships/table" Target="/xl/tables/table42.xml" Id="Rd1458fcb237e4850" /><Relationship Type="http://schemas.openxmlformats.org/officeDocument/2006/relationships/table" Target="/xl/tables/table43.xml" Id="Rc3cf8f18945943a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44.xml" Id="R88ac6ca2935642a3" /><Relationship Type="http://schemas.openxmlformats.org/officeDocument/2006/relationships/table" Target="/xl/tables/table45.xml" Id="R33878d4e8750438a" /><Relationship Type="http://schemas.openxmlformats.org/officeDocument/2006/relationships/table" Target="/xl/tables/table46.xml" Id="R2d78808fa6004a0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47.xml" Id="R4c31f0fcd9014877" /><Relationship Type="http://schemas.openxmlformats.org/officeDocument/2006/relationships/table" Target="/xl/tables/table48.xml" Id="Rf05fc94c9a68411f" /><Relationship Type="http://schemas.openxmlformats.org/officeDocument/2006/relationships/table" Target="/xl/tables/table49.xml" Id="Re2eca36a1e104b28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50.xml" Id="R2c098c03c9e3497d" /><Relationship Type="http://schemas.openxmlformats.org/officeDocument/2006/relationships/table" Target="/xl/tables/table51.xml" Id="R159ba23898b84bb9" /><Relationship Type="http://schemas.openxmlformats.org/officeDocument/2006/relationships/table" Target="/xl/tables/table52.xml" Id="Rf23a8465e34c401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53.xml" Id="Rc0b554af92e1435d" /><Relationship Type="http://schemas.openxmlformats.org/officeDocument/2006/relationships/table" Target="/xl/tables/table54.xml" Id="R7d7434924d9140d1" /><Relationship Type="http://schemas.openxmlformats.org/officeDocument/2006/relationships/table" Target="/xl/tables/table55.xml" Id="R95cb60cb64c2472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56.xml" Id="Re6de1de7c5e24146" /><Relationship Type="http://schemas.openxmlformats.org/officeDocument/2006/relationships/table" Target="/xl/tables/table57.xml" Id="R56669109ce714ff0" /><Relationship Type="http://schemas.openxmlformats.org/officeDocument/2006/relationships/table" Target="/xl/tables/table58.xml" Id="Rc33cd42cea1e474a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59.xml" Id="R9cb2abfd26374561" /><Relationship Type="http://schemas.openxmlformats.org/officeDocument/2006/relationships/table" Target="/xl/tables/table60.xml" Id="R8cd4c961813b44aa" /><Relationship Type="http://schemas.openxmlformats.org/officeDocument/2006/relationships/table" Target="/xl/tables/table61.xml" Id="R68c880823cfa4be7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62.xml" Id="R4c8658f722994027" /><Relationship Type="http://schemas.openxmlformats.org/officeDocument/2006/relationships/table" Target="/xl/tables/table63.xml" Id="R73599ea72a514ba1" /><Relationship Type="http://schemas.openxmlformats.org/officeDocument/2006/relationships/table" Target="/xl/tables/table64.xml" Id="Ra708a28f81d345a9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65.xml" Id="R38202780840d4112" /><Relationship Type="http://schemas.openxmlformats.org/officeDocument/2006/relationships/table" Target="/xl/tables/table66.xml" Id="R0a8cb0c7538d43f2" /><Relationship Type="http://schemas.openxmlformats.org/officeDocument/2006/relationships/table" Target="/xl/tables/table67.xml" Id="R8bd83315465244f4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68.xml" Id="Rb413840a6dd14ce9" /><Relationship Type="http://schemas.openxmlformats.org/officeDocument/2006/relationships/table" Target="/xl/tables/table69.xml" Id="Rec4589d47636431c" /><Relationship Type="http://schemas.openxmlformats.org/officeDocument/2006/relationships/table" Target="/xl/tables/table70.xml" Id="R00ec85903be74fb7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71.xml" Id="Rddc757d3290f4a68" /><Relationship Type="http://schemas.openxmlformats.org/officeDocument/2006/relationships/table" Target="/xl/tables/table72.xml" Id="R52b2671e65d54a51" /><Relationship Type="http://schemas.openxmlformats.org/officeDocument/2006/relationships/table" Target="/xl/tables/table73.xml" Id="Rbfd3dd2f5da1489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74.xml" Id="R8c5cf4f9154645d5" /><Relationship Type="http://schemas.openxmlformats.org/officeDocument/2006/relationships/table" Target="/xl/tables/table75.xml" Id="R75bda333bb5a4fcd" /><Relationship Type="http://schemas.openxmlformats.org/officeDocument/2006/relationships/table" Target="/xl/tables/table76.xml" Id="R6d720498ad754f05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77.xml" Id="Rf869fac97a664c0a" /><Relationship Type="http://schemas.openxmlformats.org/officeDocument/2006/relationships/table" Target="/xl/tables/table78.xml" Id="R7085f523a7ee4870" /><Relationship Type="http://schemas.openxmlformats.org/officeDocument/2006/relationships/table" Target="/xl/tables/table79.xml" Id="R02533a7157154b5d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80.xml" Id="Rc7ac065a7e1548fa" /><Relationship Type="http://schemas.openxmlformats.org/officeDocument/2006/relationships/table" Target="/xl/tables/table81.xml" Id="R0105a5c33b0c40f1" /><Relationship Type="http://schemas.openxmlformats.org/officeDocument/2006/relationships/table" Target="/xl/tables/table82.xml" Id="Rd27fd70c03e04a80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83.xml" Id="Rb3abba55101146f0" /><Relationship Type="http://schemas.openxmlformats.org/officeDocument/2006/relationships/table" Target="/xl/tables/table84.xml" Id="R33e9ab26a94d4896" /><Relationship Type="http://schemas.openxmlformats.org/officeDocument/2006/relationships/table" Target="/xl/tables/table85.xml" Id="Rc870e71ec2f2421e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86.xml" Id="R26b16c47a148419a" /><Relationship Type="http://schemas.openxmlformats.org/officeDocument/2006/relationships/table" Target="/xl/tables/table87.xml" Id="R3c5c2697b8f242e3" /><Relationship Type="http://schemas.openxmlformats.org/officeDocument/2006/relationships/table" Target="/xl/tables/table88.xml" Id="R999ea0ca88e548d0" /></Relationships>
</file>

<file path=xl/worksheets/sheet1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52" customWidth="1"/>
    <x:col min="4" max="4" width="42" customWidth="1"/>
    <x:col min="5" max="5" width="15" customWidth="1"/>
    <x:col min="6" max="6" width="18" customWidth="1"/>
    <x:col min="7" max="7" width="23" customWidth="1"/>
    <x:col min="8" max="8" width="16" customWidth="1"/>
  </x:cols>
  <x:sheetData>
    <x:row r="1" ht="38" customHeight="1">
      <x:c r="A1" s="105" t="inlineStr">
        <x:is>
          <x:t xml:space="preserve">Rewrite Frontend API Guide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 ht="28" customHeight="1">
      <x:c r="A2" s="107" t="str">
        <x:v>API를 클릭하면 상세 페이지로 이동합니다.  |  최근 변경: 2026-07-16 00:05:59 Asia/Seoul</x:v>
      </x:c>
      <x:c r="B2" s="106" t="n"/>
      <x:c r="C2" s="106" t="n"/>
      <x:c r="D2" s="106" t="n"/>
      <x:c r="E2" s="106" t="n"/>
      <x:c r="F2" s="106" t="n"/>
      <x:c r="G2" s="106" t="n"/>
      <x:c r="H2" s="106" t="n"/>
    </x:row>
    <x:row r="5">
      <x:c r="A5" s="31" t="inlineStr">
        <x:is>
          <x:t xml:space="preserve">API ID</x:t>
        </x:is>
      </x:c>
      <x:c r="B5" s="32" t="inlineStr">
        <x:is>
          <x:t xml:space="preserve">Method</x:t>
        </x:is>
      </x:c>
      <x:c r="C5" s="32" t="inlineStr">
        <x:is>
          <x:t xml:space="preserve">Path</x:t>
        </x:is>
      </x:c>
      <x:c r="D5" s="32" t="inlineStr">
        <x:is>
          <x:t xml:space="preserve">기능</x:t>
        </x:is>
      </x:c>
      <x:c r="E5" s="32" t="inlineStr">
        <x:is>
          <x:t xml:space="preserve">가용 상태</x:t>
        </x:is>
      </x:c>
      <x:c r="F5" s="32" t="inlineStr">
        <x:is>
          <x:t xml:space="preserve">성공 상태</x:t>
        </x:is>
      </x:c>
      <x:c r="G5" s="32" t="inlineStr">
        <x:is>
          <x:t xml:space="preserve">최근 변경</x:t>
        </x:is>
      </x:c>
      <x:c r="H5" s="33" t="inlineStr">
        <x:is>
          <x:t xml:space="preserve">상세</x:t>
        </x:is>
      </x:c>
    </x:row>
    <x:row r="6">
      <x:c r="A6" s="34" t="str">
        <x:f>IFERROR(HYPERLINK("#'API-001'!A1","API-001"),"API-001")</x:f>
        <x:v>API-001</x:v>
      </x:c>
      <x:c r="B6" s="35" t="inlineStr">
        <x:is>
          <x:t xml:space="preserve">GET</x:t>
        </x:is>
      </x:c>
      <x:c r="C6" s="46" t="inlineStr">
        <x:is>
          <x:t xml:space="preserve">/auth/kakao/authorize</x:t>
        </x:is>
      </x:c>
      <x:c r="D6" s="46" t="inlineStr">
        <x:is>
          <x:t xml:space="preserve">카카오 로그인 시작</x:t>
        </x:is>
      </x:c>
      <x:c r="E6" s="35" t="inlineStr">
        <x:is>
          <x:t xml:space="preserve">미구현·호출 금지</x:t>
        </x:is>
      </x:c>
      <x:c r="F6" s="35" t="inlineStr">
        <x:is>
          <x:t xml:space="preserve">302 Found</x:t>
        </x:is>
      </x:c>
      <x:c r="G6" s="108" t="n">
        <x:v>46218.92674768518</x:v>
      </x:c>
      <x:c r="H6" s="37" t="str">
        <x:f>IFERROR(HYPERLINK("#'API-001'!A1","상세 보기 →"),"상세 보기 →")</x:f>
        <x:v>상세 보기 →</x:v>
      </x:c>
    </x:row>
    <x:row r="7">
      <x:c r="A7" s="38" t="str">
        <x:f>IFERROR(HYPERLINK("#'API-002'!A1","API-002"),"API-002")</x:f>
        <x:v>API-002</x:v>
      </x:c>
      <x:c r="B7" s="39" t="inlineStr">
        <x:is>
          <x:t xml:space="preserve">GET</x:t>
        </x:is>
      </x:c>
      <x:c r="C7" s="47" t="inlineStr">
        <x:is>
          <x:t xml:space="preserve">/auth/kakao/callback</x:t>
        </x:is>
      </x:c>
      <x:c r="D7" s="47" t="inlineStr">
        <x:is>
          <x:t xml:space="preserve">카카오 OAuth callback</x:t>
        </x:is>
      </x:c>
      <x:c r="E7" s="39" t="inlineStr">
        <x:is>
          <x:t xml:space="preserve">미구현·호출 금지</x:t>
        </x:is>
      </x:c>
      <x:c r="F7" s="39" t="inlineStr">
        <x:is>
          <x:t xml:space="preserve">302 Found</x:t>
        </x:is>
      </x:c>
      <x:c r="G7" s="109" t="n">
        <x:v>46218.92674768518</x:v>
      </x:c>
      <x:c r="H7" s="41" t="str">
        <x:f>IFERROR(HYPERLINK("#'API-002'!A1","상세 보기 →"),"상세 보기 →")</x:f>
        <x:v>상세 보기 →</x:v>
      </x:c>
    </x:row>
    <x:row r="8">
      <x:c r="A8" s="38" t="str">
        <x:f>IFERROR(HYPERLINK("#'API-003'!A1","API-003"),"API-003")</x:f>
        <x:v>API-003</x:v>
      </x:c>
      <x:c r="B8" s="39" t="inlineStr">
        <x:is>
          <x:t xml:space="preserve">GET</x:t>
        </x:is>
      </x:c>
      <x:c r="C8" s="47" t="inlineStr">
        <x:is>
          <x:t xml:space="preserve">/auth/csrf-token</x:t>
        </x:is>
      </x:c>
      <x:c r="D8" s="47" t="inlineStr">
        <x:is>
          <x:t xml:space="preserve">상태 변경 요청용 CSRF 토큰</x:t>
        </x:is>
      </x:c>
      <x:c r="E8" s="39" t="inlineStr">
        <x:is>
          <x:t xml:space="preserve">미구현·호출 금지</x:t>
        </x:is>
      </x:c>
      <x:c r="F8" s="39" t="inlineStr">
        <x:is>
          <x:t xml:space="preserve">200 OK</x:t>
        </x:is>
      </x:c>
      <x:c r="G8" s="109" t="n">
        <x:v>46218.92674768518</x:v>
      </x:c>
      <x:c r="H8" s="41" t="str">
        <x:f>IFERROR(HYPERLINK("#'API-003'!A1","상세 보기 →"),"상세 보기 →")</x:f>
        <x:v>상세 보기 →</x:v>
      </x:c>
    </x:row>
    <x:row r="9">
      <x:c r="A9" s="38" t="str">
        <x:f>IFERROR(HYPERLINK("#'API-004'!A1","API-004"),"API-004")</x:f>
        <x:v>API-004</x:v>
      </x:c>
      <x:c r="B9" s="39" t="inlineStr">
        <x:is>
          <x:t xml:space="preserve">POST</x:t>
        </x:is>
      </x:c>
      <x:c r="C9" s="47" t="inlineStr">
        <x:is>
          <x:t xml:space="preserve">/auth/refresh</x:t>
        </x:is>
      </x:c>
      <x:c r="D9" s="47" t="inlineStr">
        <x:is>
          <x:t xml:space="preserve">refresh token rotation</x:t>
        </x:is>
      </x:c>
      <x:c r="E9" s="39" t="inlineStr">
        <x:is>
          <x:t xml:space="preserve">미구현·호출 금지</x:t>
        </x:is>
      </x:c>
      <x:c r="F9" s="39" t="inlineStr">
        <x:is>
          <x:t xml:space="preserve">200 OK</x:t>
        </x:is>
      </x:c>
      <x:c r="G9" s="109" t="n">
        <x:v>46218.92674768518</x:v>
      </x:c>
      <x:c r="H9" s="41" t="str">
        <x:f>IFERROR(HYPERLINK("#'API-004'!A1","상세 보기 →"),"상세 보기 →")</x:f>
        <x:v>상세 보기 →</x:v>
      </x:c>
    </x:row>
    <x:row r="10">
      <x:c r="A10" s="38" t="str">
        <x:f>IFERROR(HYPERLINK("#'API-005'!A1","API-005"),"API-005")</x:f>
        <x:v>API-005</x:v>
      </x:c>
      <x:c r="B10" s="39" t="inlineStr">
        <x:is>
          <x:t xml:space="preserve">GET</x:t>
        </x:is>
      </x:c>
      <x:c r="C10" s="47" t="inlineStr">
        <x:is>
          <x:t xml:space="preserve">/user/me</x:t>
        </x:is>
      </x:c>
      <x:c r="D10" s="47" t="inlineStr">
        <x:is>
          <x:t xml:space="preserve">내 정보 조회</x:t>
        </x:is>
      </x:c>
      <x:c r="E10" s="39" t="inlineStr">
        <x:is>
          <x:t xml:space="preserve">미구현·호출 금지</x:t>
        </x:is>
      </x:c>
      <x:c r="F10" s="39" t="inlineStr">
        <x:is>
          <x:t xml:space="preserve">200 OK</x:t>
        </x:is>
      </x:c>
      <x:c r="G10" s="109" t="n">
        <x:v>46218.92674768518</x:v>
      </x:c>
      <x:c r="H10" s="41" t="str">
        <x:f>IFERROR(HYPERLINK("#'API-005'!A1","상세 보기 →"),"상세 보기 →")</x:f>
        <x:v>상세 보기 →</x:v>
      </x:c>
    </x:row>
    <x:row r="11">
      <x:c r="A11" s="38" t="str">
        <x:f>IFERROR(HYPERLINK("#'API-006'!A1","API-006"),"API-006")</x:f>
        <x:v>API-006</x:v>
      </x:c>
      <x:c r="B11" s="39" t="inlineStr">
        <x:is>
          <x:t xml:space="preserve">POST</x:t>
        </x:is>
      </x:c>
      <x:c r="C11" s="47" t="inlineStr">
        <x:is>
          <x:t xml:space="preserve">/auth/logout</x:t>
        </x:is>
      </x:c>
      <x:c r="D11" s="47" t="inlineStr">
        <x:is>
          <x:t xml:space="preserve">로그아웃</x:t>
        </x:is>
      </x:c>
      <x:c r="E11" s="39" t="inlineStr">
        <x:is>
          <x:t xml:space="preserve">미구현·호출 금지</x:t>
        </x:is>
      </x:c>
      <x:c r="F11" s="39" t="inlineStr">
        <x:is>
          <x:t xml:space="preserve">200 OK</x:t>
        </x:is>
      </x:c>
      <x:c r="G11" s="109" t="n">
        <x:v>46218.92674768518</x:v>
      </x:c>
      <x:c r="H11" s="41" t="str">
        <x:f>IFERROR(HYPERLINK("#'API-006'!A1","상세 보기 →"),"상세 보기 →")</x:f>
        <x:v>상세 보기 →</x:v>
      </x:c>
    </x:row>
    <x:row r="12">
      <x:c r="A12" s="38" t="str">
        <x:f>IFERROR(HYPERLINK("#'API-007'!A1","API-007"),"API-007")</x:f>
        <x:v>API-007</x:v>
      </x:c>
      <x:c r="B12" s="39" t="inlineStr">
        <x:is>
          <x:t xml:space="preserve">GET</x:t>
        </x:is>
      </x:c>
      <x:c r="C12" s="47" t="inlineStr">
        <x:is>
          <x:t xml:space="preserve">/cover-letters</x:t>
        </x:is>
      </x:c>
      <x:c r="D12" s="47" t="inlineStr">
        <x:is>
          <x:t xml:space="preserve">내 자기소개서 목록</x:t>
        </x:is>
      </x:c>
      <x:c r="E12" s="39" t="inlineStr">
        <x:is>
          <x:t xml:space="preserve">사용 가능</x:t>
        </x:is>
      </x:c>
      <x:c r="F12" s="39" t="inlineStr">
        <x:is>
          <x:t xml:space="preserve">200 OK</x:t>
        </x:is>
      </x:c>
      <x:c r="G12" s="109" t="n">
        <x:v>46218.92674768518</x:v>
      </x:c>
      <x:c r="H12" s="41" t="str">
        <x:f>IFERROR(HYPERLINK("#'API-007'!A1","상세 보기 →"),"상세 보기 →")</x:f>
        <x:v>상세 보기 →</x:v>
      </x:c>
    </x:row>
    <x:row r="13">
      <x:c r="A13" s="38" t="str">
        <x:f>IFERROR(HYPERLINK("#'API-008'!A1","API-008"),"API-008")</x:f>
        <x:v>API-008</x:v>
      </x:c>
      <x:c r="B13" s="39" t="inlineStr">
        <x:is>
          <x:t xml:space="preserve">POST</x:t>
        </x:is>
      </x:c>
      <x:c r="C13" s="47" t="inlineStr">
        <x:is>
          <x:t xml:space="preserve">/cover-letters</x:t>
        </x:is>
      </x:c>
      <x:c r="D13" s="47" t="inlineStr">
        <x:is>
          <x:t xml:space="preserve">자기소개서 초안 생성</x:t>
        </x:is>
      </x:c>
      <x:c r="E13" s="39" t="inlineStr">
        <x:is>
          <x:t xml:space="preserve">사용 가능</x:t>
        </x:is>
      </x:c>
      <x:c r="F13" s="39" t="inlineStr">
        <x:is>
          <x:t xml:space="preserve">201 Created</x:t>
        </x:is>
      </x:c>
      <x:c r="G13" s="109" t="n">
        <x:v>46218.92674768518</x:v>
      </x:c>
      <x:c r="H13" s="41" t="str">
        <x:f>IFERROR(HYPERLINK("#'API-008'!A1","상세 보기 →"),"상세 보기 →")</x:f>
        <x:v>상세 보기 →</x:v>
      </x:c>
    </x:row>
    <x:row r="14">
      <x:c r="A14" s="38" t="str">
        <x:f>IFERROR(HYPERLINK("#'API-009'!A1","API-009"),"API-009")</x:f>
        <x:v>API-009</x:v>
      </x:c>
      <x:c r="B14" s="39" t="inlineStr">
        <x:is>
          <x:t xml:space="preserve">PUT</x:t>
        </x:is>
      </x:c>
      <x:c r="C14" s="47" t="inlineStr">
        <x:is>
          <x:t xml:space="preserve">/cover-letters/{coverLetterId}/basic-info</x:t>
        </x:is>
      </x:c>
      <x:c r="D14" s="47" t="inlineStr">
        <x:is>
          <x:t xml:space="preserve">등록 step1 저장</x:t>
        </x:is>
      </x:c>
      <x:c r="E14" s="39" t="inlineStr">
        <x:is>
          <x:t xml:space="preserve">사용 가능</x:t>
        </x:is>
      </x:c>
      <x:c r="F14" s="39" t="inlineStr">
        <x:is>
          <x:t xml:space="preserve">200 OK</x:t>
        </x:is>
      </x:c>
      <x:c r="G14" s="109" t="n">
        <x:v>46218.92674768518</x:v>
      </x:c>
      <x:c r="H14" s="41" t="str">
        <x:f>IFERROR(HYPERLINK("#'API-009'!A1","상세 보기 →"),"상세 보기 →")</x:f>
        <x:v>상세 보기 →</x:v>
      </x:c>
    </x:row>
    <x:row r="15">
      <x:c r="A15" s="38" t="str">
        <x:f>IFERROR(HYPERLINK("#'API-010'!A1","API-010"),"API-010")</x:f>
        <x:v>API-010</x:v>
      </x:c>
      <x:c r="B15" s="39" t="inlineStr">
        <x:is>
          <x:t xml:space="preserve">PUT</x:t>
        </x:is>
      </x:c>
      <x:c r="C15" s="47" t="inlineStr">
        <x:is>
          <x:t xml:space="preserve">/cover-letters/{coverLetterId}/preferences</x:t>
        </x:is>
      </x:c>
      <x:c r="D15" s="47" t="inlineStr">
        <x:is>
          <x:t xml:space="preserve">등록 step2 저장</x:t>
        </x:is>
      </x:c>
      <x:c r="E15" s="39" t="inlineStr">
        <x:is>
          <x:t xml:space="preserve">사용 가능</x:t>
        </x:is>
      </x:c>
      <x:c r="F15" s="39" t="inlineStr">
        <x:is>
          <x:t xml:space="preserve">200 OK</x:t>
        </x:is>
      </x:c>
      <x:c r="G15" s="109" t="n">
        <x:v>46218.92674768518</x:v>
      </x:c>
      <x:c r="H15" s="41" t="str">
        <x:f>IFERROR(HYPERLINK("#'API-010'!A1","상세 보기 →"),"상세 보기 →")</x:f>
        <x:v>상세 보기 →</x:v>
      </x:c>
    </x:row>
    <x:row r="16">
      <x:c r="A16" s="38" t="str">
        <x:f>IFERROR(HYPERLINK("#'API-011'!A1","API-011"),"API-011")</x:f>
        <x:v>API-011</x:v>
      </x:c>
      <x:c r="B16" s="39" t="inlineStr">
        <x:is>
          <x:t xml:space="preserve">PUT</x:t>
        </x:is>
      </x:c>
      <x:c r="C16" s="47" t="inlineStr">
        <x:is>
          <x:t xml:space="preserve">/cover-letters/{coverLetterId}/questions</x:t>
        </x:is>
      </x:c>
      <x:c r="D16" s="47" t="inlineStr">
        <x:is>
          <x:t xml:space="preserve">등록 step3 저장</x:t>
        </x:is>
      </x:c>
      <x:c r="E16" s="39" t="inlineStr">
        <x:is>
          <x:t xml:space="preserve">사용 가능</x:t>
        </x:is>
      </x:c>
      <x:c r="F16" s="39" t="inlineStr">
        <x:is>
          <x:t xml:space="preserve">200 OK</x:t>
        </x:is>
      </x:c>
      <x:c r="G16" s="109" t="n">
        <x:v>46218.92674768518</x:v>
      </x:c>
      <x:c r="H16" s="41" t="str">
        <x:f>IFERROR(HYPERLINK("#'API-011'!A1","상세 보기 →"),"상세 보기 →")</x:f>
        <x:v>상세 보기 →</x:v>
      </x:c>
    </x:row>
    <x:row r="17">
      <x:c r="A17" s="38" t="str">
        <x:f>IFERROR(HYPERLINK("#'API-012'!A1","API-012"),"API-012")</x:f>
        <x:v>API-012</x:v>
      </x:c>
      <x:c r="B17" s="39" t="inlineStr">
        <x:is>
          <x:t xml:space="preserve">GET</x:t>
        </x:is>
      </x:c>
      <x:c r="C17" s="47" t="inlineStr">
        <x:is>
          <x:t xml:space="preserve">/cover-letters/{coverLetterId}</x:t>
        </x:is>
      </x:c>
      <x:c r="D17" s="47" t="inlineStr">
        <x:is>
          <x:t xml:space="preserve">자기소개서 상세</x:t>
        </x:is>
      </x:c>
      <x:c r="E17" s="39" t="inlineStr">
        <x:is>
          <x:t xml:space="preserve">미구현·호출 금지</x:t>
        </x:is>
      </x:c>
      <x:c r="F17" s="39" t="inlineStr">
        <x:is>
          <x:t xml:space="preserve">200 OK</x:t>
        </x:is>
      </x:c>
      <x:c r="G17" s="109" t="n">
        <x:v>46218.92674768518</x:v>
      </x:c>
      <x:c r="H17" s="41" t="str">
        <x:f>IFERROR(HYPERLINK("#'API-012'!A1","상세 보기 →"),"상세 보기 →")</x:f>
        <x:v>상세 보기 →</x:v>
      </x:c>
    </x:row>
    <x:row r="18">
      <x:c r="A18" s="38" t="str">
        <x:f>IFERROR(HYPERLINK("#'API-013'!A1","API-013"),"API-013")</x:f>
        <x:v>API-013</x:v>
      </x:c>
      <x:c r="B18" s="39" t="inlineStr">
        <x:is>
          <x:t xml:space="preserve">DELETE</x:t>
        </x:is>
      </x:c>
      <x:c r="C18" s="47" t="inlineStr">
        <x:is>
          <x:t xml:space="preserve">/cover-letters/{coverLetterId}</x:t>
        </x:is>
      </x:c>
      <x:c r="D18" s="47" t="inlineStr">
        <x:is>
          <x:t xml:space="preserve">자기소개서 soft delete</x:t>
        </x:is>
      </x:c>
      <x:c r="E18" s="39" t="inlineStr">
        <x:is>
          <x:t xml:space="preserve">사용 가능</x:t>
        </x:is>
      </x:c>
      <x:c r="F18" s="39" t="inlineStr">
        <x:is>
          <x:t xml:space="preserve">200 OK</x:t>
        </x:is>
      </x:c>
      <x:c r="G18" s="109" t="n">
        <x:v>46218.92674768518</x:v>
      </x:c>
      <x:c r="H18" s="41" t="str">
        <x:f>IFERROR(HYPERLINK("#'API-013'!A1","상세 보기 →"),"상세 보기 →")</x:f>
        <x:v>상세 보기 →</x:v>
      </x:c>
    </x:row>
    <x:row r="19">
      <x:c r="A19" s="38" t="str">
        <x:f>IFERROR(HYPERLINK("#'API-014'!A1","API-014"),"API-014")</x:f>
        <x:v>API-014</x:v>
      </x:c>
      <x:c r="B19" s="39" t="inlineStr">
        <x:is>
          <x:t xml:space="preserve">POST</x:t>
        </x:is>
      </x:c>
      <x:c r="C19" s="47" t="inlineStr">
        <x:is>
          <x:t xml:space="preserve">/cover-letters/{coverLetterId}/submit</x:t>
        </x:is>
      </x:c>
      <x:c r="D19" s="47" t="inlineStr">
        <x:is>
          <x:t xml:space="preserve">첨삭 Job 생성</x:t>
        </x:is>
      </x:c>
      <x:c r="E19" s="39" t="inlineStr">
        <x:is>
          <x:t xml:space="preserve">사용 가능</x:t>
        </x:is>
      </x:c>
      <x:c r="F19" s="39" t="inlineStr">
        <x:is>
          <x:t xml:space="preserve">200 OK</x:t>
        </x:is>
      </x:c>
      <x:c r="G19" s="109" t="n">
        <x:v>46218.92674768518</x:v>
      </x:c>
      <x:c r="H19" s="41" t="str">
        <x:f>IFERROR(HYPERLINK("#'API-014'!A1","상세 보기 →"),"상세 보기 →")</x:f>
        <x:v>상세 보기 →</x:v>
      </x:c>
    </x:row>
    <x:row r="20">
      <x:c r="A20" s="38" t="str">
        <x:f>IFERROR(HYPERLINK("#'API-015'!A1","API-015"),"API-015")</x:f>
        <x:v>API-015</x:v>
      </x:c>
      <x:c r="B20" s="39" t="inlineStr">
        <x:is>
          <x:t xml:space="preserve">GET</x:t>
        </x:is>
      </x:c>
      <x:c r="C20" s="47" t="inlineStr">
        <x:is>
          <x:t xml:space="preserve">/llm-jobs/{jobId}</x:t>
        </x:is>
      </x:c>
      <x:c r="D20" s="47" t="inlineStr">
        <x:is>
          <x:t xml:space="preserve">LLM Job 상태 조회</x:t>
        </x:is>
      </x:c>
      <x:c r="E20" s="39" t="inlineStr">
        <x:is>
          <x:t xml:space="preserve">사용 가능</x:t>
        </x:is>
      </x:c>
      <x:c r="F20" s="39" t="inlineStr">
        <x:is>
          <x:t xml:space="preserve">200 OK</x:t>
        </x:is>
      </x:c>
      <x:c r="G20" s="109" t="n">
        <x:v>46219.004155092596</x:v>
      </x:c>
      <x:c r="H20" s="41" t="str">
        <x:f>IFERROR(HYPERLINK("#'API-015'!A1","상세 보기 →"),"상세 보기 →")</x:f>
        <x:v>상세 보기 →</x:v>
      </x:c>
    </x:row>
    <x:row r="21">
      <x:c r="A21" s="38" t="str">
        <x:f>IFERROR(HYPERLINK("#'API-016'!A1","API-016"),"API-016")</x:f>
        <x:v>API-016</x:v>
      </x:c>
      <x:c r="B21" s="39" t="inlineStr">
        <x:is>
          <x:t xml:space="preserve">GET</x:t>
        </x:is>
      </x:c>
      <x:c r="C21" s="47" t="inlineStr">
        <x:is>
          <x:t xml:space="preserve">/llm-jobs/{jobId}/stream</x:t>
        </x:is>
      </x:c>
      <x:c r="D21" s="47" t="inlineStr">
        <x:is>
          <x:t xml:space="preserve">SSE 스트리밍</x:t>
        </x:is>
      </x:c>
      <x:c r="E21" s="39" t="inlineStr">
        <x:is>
          <x:t xml:space="preserve">미구현·호출 금지</x:t>
        </x:is>
      </x:c>
      <x:c r="F21" s="39" t="inlineStr">
        <x:is>
          <x:t xml:space="preserve">200 OK</x:t>
        </x:is>
      </x:c>
      <x:c r="G21" s="109" t="n">
        <x:v>46218.92674768518</x:v>
      </x:c>
      <x:c r="H21" s="41" t="str">
        <x:f>IFERROR(HYPERLINK("#'API-016'!A1","상세 보기 →"),"상세 보기 →")</x:f>
        <x:v>상세 보기 →</x:v>
      </x:c>
    </x:row>
    <x:row r="22">
      <x:c r="A22" s="38" t="str">
        <x:f>IFERROR(HYPERLINK("#'API-017'!A1","API-017"),"API-017")</x:f>
        <x:v>API-017</x:v>
      </x:c>
      <x:c r="B22" s="39" t="inlineStr">
        <x:is>
          <x:t xml:space="preserve">GET</x:t>
        </x:is>
      </x:c>
      <x:c r="C22" s="47" t="inlineStr">
        <x:is>
          <x:t xml:space="preserve">/cover-letters/{coverLetterId}/review-versions</x:t>
        </x:is>
      </x:c>
      <x:c r="D22" s="47" t="inlineStr">
        <x:is>
          <x:t xml:space="preserve">첨삭 버전 목록</x:t>
        </x:is>
      </x:c>
      <x:c r="E22" s="39" t="inlineStr">
        <x:is>
          <x:t xml:space="preserve">사용 가능</x:t>
        </x:is>
      </x:c>
      <x:c r="F22" s="39" t="inlineStr">
        <x:is>
          <x:t xml:space="preserve">200 OK</x:t>
        </x:is>
      </x:c>
      <x:c r="G22" s="109" t="n">
        <x:v>46218.92674768518</x:v>
      </x:c>
      <x:c r="H22" s="41" t="str">
        <x:f>IFERROR(HYPERLINK("#'API-017'!A1","상세 보기 →"),"상세 보기 →")</x:f>
        <x:v>상세 보기 →</x:v>
      </x:c>
    </x:row>
    <x:row r="23">
      <x:c r="A23" s="38" t="str">
        <x:f>IFERROR(HYPERLINK("#'API-018'!A1","API-018"),"API-018")</x:f>
        <x:v>API-018</x:v>
      </x:c>
      <x:c r="B23" s="39" t="inlineStr">
        <x:is>
          <x:t xml:space="preserve">GET</x:t>
        </x:is>
      </x:c>
      <x:c r="C23" s="47" t="inlineStr">
        <x:is>
          <x:t xml:space="preserve">/cover-letters/{coverLetterId}/review-versions/{versionId}</x:t>
        </x:is>
      </x:c>
      <x:c r="D23" s="47" t="inlineStr">
        <x:is>
          <x:t xml:space="preserve">첨삭 버전 상세</x:t>
        </x:is>
      </x:c>
      <x:c r="E23" s="39" t="inlineStr">
        <x:is>
          <x:t xml:space="preserve">사용 가능</x:t>
        </x:is>
      </x:c>
      <x:c r="F23" s="39" t="inlineStr">
        <x:is>
          <x:t xml:space="preserve">200 OK</x:t>
        </x:is>
      </x:c>
      <x:c r="G23" s="109" t="n">
        <x:v>46218.92674768518</x:v>
      </x:c>
      <x:c r="H23" s="41" t="str">
        <x:f>IFERROR(HYPERLINK("#'API-018'!A1","상세 보기 →"),"상세 보기 →")</x:f>
        <x:v>상세 보기 →</x:v>
      </x:c>
    </x:row>
    <x:row r="24">
      <x:c r="A24" s="38" t="str">
        <x:f>IFERROR(HYPERLINK("#'API-019'!A1","API-019"),"API-019")</x:f>
        <x:v>API-019</x:v>
      </x:c>
      <x:c r="B24" s="39" t="inlineStr">
        <x:is>
          <x:t xml:space="preserve">PUT</x:t>
        </x:is>
      </x:c>
      <x:c r="C24" s="47" t="inlineStr">
        <x:is>
          <x:t xml:space="preserve">/cover-letters/{coverLetterId}/review-versions/{versionId}/final-answers</x:t>
        </x:is>
      </x:c>
      <x:c r="D24" s="47" t="inlineStr">
        <x:is>
          <x:t xml:space="preserve">최종 작성본 일괄 저장</x:t>
        </x:is>
      </x:c>
      <x:c r="E24" s="39" t="inlineStr">
        <x:is>
          <x:t xml:space="preserve">사용 가능</x:t>
        </x:is>
      </x:c>
      <x:c r="F24" s="39" t="inlineStr">
        <x:is>
          <x:t xml:space="preserve">200 OK</x:t>
        </x:is>
      </x:c>
      <x:c r="G24" s="109" t="n">
        <x:v>46218.92674768518</x:v>
      </x:c>
      <x:c r="H24" s="41" t="str">
        <x:f>IFERROR(HYPERLINK("#'API-019'!A1","상세 보기 →"),"상세 보기 →")</x:f>
        <x:v>상세 보기 →</x:v>
      </x:c>
    </x:row>
    <x:row r="25">
      <x:c r="A25" s="38" t="str">
        <x:f>IFERROR(HYPERLINK("#'API-020'!A1","API-020"),"API-020")</x:f>
        <x:v>API-020</x:v>
      </x:c>
      <x:c r="B25" s="39" t="inlineStr">
        <x:is>
          <x:t xml:space="preserve">POST</x:t>
        </x:is>
      </x:c>
      <x:c r="C25" s="47" t="inlineStr">
        <x:is>
          <x:t xml:space="preserve">/cover-letters/{coverLetterId}/keyword-analysis</x:t>
        </x:is>
      </x:c>
      <x:c r="D25" s="47" t="inlineStr">
        <x:is>
          <x:t xml:space="preserve">키워드 분석 시작/재분석</x:t>
        </x:is>
      </x:c>
      <x:c r="E25" s="39" t="inlineStr">
        <x:is>
          <x:t xml:space="preserve">사용 가능</x:t>
        </x:is>
      </x:c>
      <x:c r="F25" s="39" t="inlineStr">
        <x:is>
          <x:t xml:space="preserve">200 OK</x:t>
        </x:is>
      </x:c>
      <x:c r="G25" s="109" t="n">
        <x:v>46218.92674768518</x:v>
      </x:c>
      <x:c r="H25" s="41" t="str">
        <x:f>IFERROR(HYPERLINK("#'API-020'!A1","상세 보기 →"),"상세 보기 →")</x:f>
        <x:v>상세 보기 →</x:v>
      </x:c>
    </x:row>
    <x:row r="26">
      <x:c r="A26" s="38" t="str">
        <x:f>IFERROR(HYPERLINK("#'API-021'!A1","API-021"),"API-021")</x:f>
        <x:v>API-021</x:v>
      </x:c>
      <x:c r="B26" s="39" t="inlineStr">
        <x:is>
          <x:t xml:space="preserve">GET</x:t>
        </x:is>
      </x:c>
      <x:c r="C26" s="47" t="inlineStr">
        <x:is>
          <x:t xml:space="preserve">/cover-letters/{coverLetterId}/keyword-analysis/latest</x:t>
        </x:is>
      </x:c>
      <x:c r="D26" s="47" t="inlineStr">
        <x:is>
          <x:t xml:space="preserve">최신 키워드 분석 조회</x:t>
        </x:is>
      </x:c>
      <x:c r="E26" s="39" t="inlineStr">
        <x:is>
          <x:t xml:space="preserve">사용 가능</x:t>
        </x:is>
      </x:c>
      <x:c r="F26" s="39" t="inlineStr">
        <x:is>
          <x:t xml:space="preserve">200 OK</x:t>
        </x:is>
      </x:c>
      <x:c r="G26" s="109" t="n">
        <x:v>46218.92674768518</x:v>
      </x:c>
      <x:c r="H26" s="41" t="str">
        <x:f>IFERROR(HYPERLINK("#'API-021'!A1","상세 보기 →"),"상세 보기 →")</x:f>
        <x:v>상세 보기 →</x:v>
      </x:c>
    </x:row>
    <x:row r="27">
      <x:c r="A27" s="38" t="str">
        <x:f>IFERROR(HYPERLINK("#'API-022'!A1","API-022"),"API-022")</x:f>
        <x:v>API-022</x:v>
      </x:c>
      <x:c r="B27" s="39" t="inlineStr">
        <x:is>
          <x:t xml:space="preserve">POST</x:t>
        </x:is>
      </x:c>
      <x:c r="C27" s="47" t="inlineStr">
        <x:is>
          <x:t xml:space="preserve">/cover-letters/{coverLetterId}/interviews</x:t>
        </x:is>
      </x:c>
      <x:c r="D27" s="47" t="inlineStr">
        <x:is>
          <x:t xml:space="preserve">면접 세션과 초기 질문 생성 Job 생성</x:t>
        </x:is>
      </x:c>
      <x:c r="E27" s="39" t="inlineStr">
        <x:is>
          <x:t xml:space="preserve">사용 가능</x:t>
        </x:is>
      </x:c>
      <x:c r="F27" s="39" t="inlineStr">
        <x:is>
          <x:t xml:space="preserve">200 OK</x:t>
        </x:is>
      </x:c>
      <x:c r="G27" s="109" t="n">
        <x:v>46218.92674768518</x:v>
      </x:c>
      <x:c r="H27" s="41" t="str">
        <x:f>IFERROR(HYPERLINK("#'API-022'!A1","상세 보기 →"),"상세 보기 →")</x:f>
        <x:v>상세 보기 →</x:v>
      </x:c>
    </x:row>
    <x:row r="28">
      <x:c r="A28" s="38" t="str">
        <x:f>IFERROR(HYPERLINK("#'API-023'!A1","API-023"),"API-023")</x:f>
        <x:v>API-023</x:v>
      </x:c>
      <x:c r="B28" s="39" t="inlineStr">
        <x:is>
          <x:t xml:space="preserve">POST</x:t>
        </x:is>
      </x:c>
      <x:c r="C28" s="47" t="inlineStr">
        <x:is>
          <x:t xml:space="preserve">/interview-threads/{threadId}/messages</x:t>
        </x:is>
      </x:c>
      <x:c r="D28" s="47" t="inlineStr">
        <x:is>
          <x:t xml:space="preserve">USER 답변 저장, 피드백 Job 실행, ASSISTANT 피드백 메시지 저장</x:t>
        </x:is>
      </x:c>
      <x:c r="E28" s="39" t="inlineStr">
        <x:is>
          <x:t xml:space="preserve">사용 가능</x:t>
        </x:is>
      </x:c>
      <x:c r="F28" s="39" t="inlineStr">
        <x:is>
          <x:t xml:space="preserve">200 OK</x:t>
        </x:is>
      </x:c>
      <x:c r="G28" s="109" t="n">
        <x:v>46218.92674768518</x:v>
      </x:c>
      <x:c r="H28" s="41" t="str">
        <x:f>IFERROR(HYPERLINK("#'API-023'!A1","상세 보기 →"),"상세 보기 →")</x:f>
        <x:v>상세 보기 →</x:v>
      </x:c>
    </x:row>
    <x:row r="29">
      <x:c r="A29" s="38" t="str">
        <x:f>IFERROR(HYPERLINK("#'API-024'!A1","API-024"),"API-024")</x:f>
        <x:v>API-024</x:v>
      </x:c>
      <x:c r="B29" s="39" t="inlineStr">
        <x:is>
          <x:t xml:space="preserve">POST</x:t>
        </x:is>
      </x:c>
      <x:c r="C29" s="47" t="inlineStr">
        <x:is>
          <x:t xml:space="preserve">/cover-letters/{coverLetterId}/review-versions</x:t>
        </x:is>
      </x:c>
      <x:c r="D29" s="47" t="inlineStr">
        <x:is>
          <x:t xml:space="preserve">AI 첨삭 다시받기</x:t>
        </x:is>
      </x:c>
      <x:c r="E29" s="39" t="inlineStr">
        <x:is>
          <x:t xml:space="preserve">사용 가능</x:t>
        </x:is>
      </x:c>
      <x:c r="F29" s="39" t="inlineStr">
        <x:is>
          <x:t xml:space="preserve">200 OK</x:t>
        </x:is>
      </x:c>
      <x:c r="G29" s="109" t="n">
        <x:v>46218.92674768518</x:v>
      </x:c>
      <x:c r="H29" s="41" t="str">
        <x:f>IFERROR(HYPERLINK("#'API-024'!A1","상세 보기 →"),"상세 보기 →")</x:f>
        <x:v>상세 보기 →</x:v>
      </x:c>
    </x:row>
    <x:row r="30">
      <x:c r="A30" s="38" t="str">
        <x:f>IFERROR(HYPERLINK("#'API-025'!A1","API-025"),"API-025")</x:f>
        <x:v>API-025</x:v>
      </x:c>
      <x:c r="B30" s="39" t="inlineStr">
        <x:is>
          <x:t xml:space="preserve">GET</x:t>
        </x:is>
      </x:c>
      <x:c r="C30" s="47" t="inlineStr">
        <x:is>
          <x:t xml:space="preserve">/cover-letters/{coverLetterId}/interview</x:t>
        </x:is>
      </x:c>
      <x:c r="D30" s="47" t="inlineStr">
        <x:is>
          <x:t xml:space="preserve">현재 면접 세션 조회</x:t>
        </x:is>
      </x:c>
      <x:c r="E30" s="39" t="inlineStr">
        <x:is>
          <x:t xml:space="preserve">사용 가능</x:t>
        </x:is>
      </x:c>
      <x:c r="F30" s="39" t="inlineStr">
        <x:is>
          <x:t xml:space="preserve">200 OK</x:t>
        </x:is>
      </x:c>
      <x:c r="G30" s="109" t="n">
        <x:v>46218.92674768518</x:v>
      </x:c>
      <x:c r="H30" s="41" t="str">
        <x:f>IFERROR(HYPERLINK("#'API-025'!A1","상세 보기 →"),"상세 보기 →")</x:f>
        <x:v>상세 보기 →</x:v>
      </x:c>
    </x:row>
    <x:row r="31">
      <x:c r="A31" s="38" t="str">
        <x:f>IFERROR(HYPERLINK("#'API-026'!A1","API-026"),"API-026")</x:f>
        <x:v>API-026</x:v>
      </x:c>
      <x:c r="B31" s="39" t="inlineStr">
        <x:is>
          <x:t xml:space="preserve">GET</x:t>
        </x:is>
      </x:c>
      <x:c r="C31" s="47" t="inlineStr">
        <x:is>
          <x:t xml:space="preserve">/interviews/{interviewSessionId}/questions</x:t>
        </x:is>
      </x:c>
      <x:c r="D31" s="47" t="inlineStr">
        <x:is>
          <x:t xml:space="preserve">유형 구분 없는 자기소개서 기반 면접 질문 목록</x:t>
        </x:is>
      </x:c>
      <x:c r="E31" s="39" t="inlineStr">
        <x:is>
          <x:t xml:space="preserve">사용 가능</x:t>
        </x:is>
      </x:c>
      <x:c r="F31" s="39" t="inlineStr">
        <x:is>
          <x:t xml:space="preserve">200 OK</x:t>
        </x:is>
      </x:c>
      <x:c r="G31" s="109" t="n">
        <x:v>46218.92674768518</x:v>
      </x:c>
      <x:c r="H31" s="41" t="str">
        <x:f>IFERROR(HYPERLINK("#'API-026'!A1","상세 보기 →"),"상세 보기 →")</x:f>
        <x:v>상세 보기 →</x:v>
      </x:c>
    </x:row>
    <x:row r="32">
      <x:c r="A32" s="38" t="str">
        <x:f>IFERROR(HYPERLINK("#'API-027'!A1","API-027"),"API-027")</x:f>
        <x:v>API-027</x:v>
      </x:c>
      <x:c r="B32" s="39" t="inlineStr">
        <x:is>
          <x:t xml:space="preserve">POST</x:t>
        </x:is>
      </x:c>
      <x:c r="C32" s="47" t="inlineStr">
        <x:is>
          <x:t xml:space="preserve">/interviews/{interviewSessionId}/questions</x:t>
        </x:is>
      </x:c>
      <x:c r="D32" s="47" t="inlineStr">
        <x:is>
          <x:t xml:space="preserve">최신 첨삭 버전 기준 자기소개서 기반 면접 질문과 thread 1개 추가 생성</x:t>
        </x:is>
      </x:c>
      <x:c r="E32" s="39" t="inlineStr">
        <x:is>
          <x:t xml:space="preserve">사용 가능</x:t>
        </x:is>
      </x:c>
      <x:c r="F32" s="39" t="inlineStr">
        <x:is>
          <x:t xml:space="preserve">200 OK</x:t>
        </x:is>
      </x:c>
      <x:c r="G32" s="109" t="n">
        <x:v>46218.92674768518</x:v>
      </x:c>
      <x:c r="H32" s="41" t="str">
        <x:f>IFERROR(HYPERLINK("#'API-027'!A1","상세 보기 →"),"상세 보기 →")</x:f>
        <x:v>상세 보기 →</x:v>
      </x:c>
    </x:row>
    <x:row r="33">
      <x:c r="A33" s="38" t="str">
        <x:f>IFERROR(HYPERLINK("#'API-028'!A1","API-028"),"API-028")</x:f>
        <x:v>API-028</x:v>
      </x:c>
      <x:c r="B33" s="39" t="inlineStr">
        <x:is>
          <x:t xml:space="preserve">POST</x:t>
        </x:is>
      </x:c>
      <x:c r="C33" s="47" t="inlineStr">
        <x:is>
          <x:t xml:space="preserve">/interviews/{interviewSessionId}/threads</x:t>
        </x:is>
      </x:c>
      <x:c r="D33" s="47" t="inlineStr">
        <x:is>
          <x:t xml:space="preserve">질문 생성 시 thread를 함께 저장하므로 사용하지 않음</x:t>
        </x:is>
      </x:c>
      <x:c r="E33" s="39" t="inlineStr">
        <x:is>
          <x:t xml:space="preserve">폐기·호출 금지</x:t>
        </x:is>
      </x:c>
      <x:c r="F33" s="39" t="inlineStr">
        <x:is>
          <x:t xml:space="preserve">200 OK</x:t>
        </x:is>
      </x:c>
      <x:c r="G33" s="109" t="n">
        <x:v>46218.92674768518</x:v>
      </x:c>
      <x:c r="H33" s="41" t="str">
        <x:f>IFERROR(HYPERLINK("#'API-028'!A1","상세 보기 →"),"상세 보기 →")</x:f>
        <x:v>상세 보기 →</x:v>
      </x:c>
    </x:row>
    <x:row r="34">
      <x:c r="A34" s="42" t="str">
        <x:f>IFERROR(HYPERLINK("#'API-029'!A1","API-029"),"API-029")</x:f>
        <x:v>API-029</x:v>
      </x:c>
      <x:c r="B34" s="43" t="inlineStr">
        <x:is>
          <x:t xml:space="preserve">GET</x:t>
        </x:is>
      </x:c>
      <x:c r="C34" s="48" t="inlineStr">
        <x:is>
          <x:t xml:space="preserve">/interview-threads/{threadId}/messages</x:t>
        </x:is>
      </x:c>
      <x:c r="D34" s="48" t="inlineStr">
        <x:is>
          <x:t xml:space="preserve">대화 메시지 조회</x:t>
        </x:is>
      </x:c>
      <x:c r="E34" s="43" t="inlineStr">
        <x:is>
          <x:t xml:space="preserve">사용 가능</x:t>
        </x:is>
      </x:c>
      <x:c r="F34" s="43" t="inlineStr">
        <x:is>
          <x:t xml:space="preserve">200 OK</x:t>
        </x:is>
      </x:c>
      <x:c r="G34" s="110" t="n">
        <x:v>46218.92674768518</x:v>
      </x:c>
      <x:c r="H34" s="45" t="str">
        <x:f>IFERROR(HYPERLINK("#'API-029'!A1","상세 보기 →"),"상세 보기 →")</x:f>
        <x:v>상세 보기 →</x:v>
      </x:c>
    </x:row>
  </x:sheetData>
  <x:mergeCells>
    <x:mergeCell ref="A2:H2"/>
    <x:mergeCell ref="A1:H1"/>
  </x:mergeCells>
  <x:pageMargins left="0.7" right="0.7" top="0.75" bottom="0.75" header="0.3" footer="0.3"/>
  <x:pageSetup paperSize="9" orientation="landscape" fitToWidth="1" fitToHeight="0"/>
  <x:tableParts count="1">
    <x:tablePart xmlns:r="http://schemas.openxmlformats.org/officeDocument/2006/relationships" r:id="R8a91765ec62541fd"/>
  </x:tableParts>
</x:worksheet>
</file>

<file path=xl/worksheets/sheet2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API-001  ·  카카오 로그인 시작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/auth/kakao/authorize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/auth/kakao/authorize</x:t>
        </x:is>
      </x:c>
      <x:c r="E5" s="82" t="inlineStr">
        <x:is>
          <x:t xml:space="preserve">성공 상태</x:t>
        </x:is>
      </x:c>
      <x:c r="F5" s="46" t="inlineStr">
        <x:is>
          <x:t xml:space="preserve">302 Found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카카오 로그인 시작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불필요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브라우저 이동: window.location.assign(path)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/auth/kakao/authorize HTTP/1.1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56" customHeight="1">
      <x:c r="A14" s="115" t="inlineStr">
        <x:is>
          <x:t xml:space="preserve">HTTP/1.1 302 Found
Location: https://kauth.kakao.com/oauth/authorize?... 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102" t="inlineStr">
        <x:is>
          <x:t xml:space="preserve">-</x:t>
        </x:is>
      </x:c>
      <x:c r="B18" s="103" t="inlineStr">
        <x:is>
          <x:t xml:space="preserve">없음</x:t>
        </x:is>
      </x:c>
      <x:c r="C18" s="103" t="inlineStr">
        <x:is>
          <x:t xml:space="preserve">-</x:t>
        </x:is>
      </x:c>
      <x:c r="D18" s="103" t="inlineStr">
        <x:is>
          <x:t xml:space="preserve">-</x:t>
        </x:is>
      </x:c>
      <x:c r="E18" s="104" t="inlineStr">
        <x:is>
          <x:t xml:space="preserve">로그인 시작 요청에 별도 입력 없음</x:t>
        </x:is>
      </x:c>
    </x:row>
    <x:row r="20" ht="24" customHeight="1">
      <x:c r="A20" s="113" t="inlineStr">
        <x:is>
          <x:t xml:space="preserve">응답 필드 설명</x:t>
        </x:is>
      </x:c>
      <x:c r="B20" s="106" t="n"/>
      <x:c r="C20" s="106" t="n"/>
      <x:c r="D20" s="106" t="n"/>
      <x:c r="E20" s="106" t="n"/>
      <x:c r="F20" s="106" t="n"/>
      <x:c r="G20" s="106" t="n"/>
      <x:c r="H20" s="106" t="n"/>
    </x:row>
    <x:row r="21">
      <x:c r="A21" s="9" t="inlineStr">
        <x:is>
          <x:t xml:space="preserve">필드 경로</x:t>
        </x:is>
      </x:c>
      <x:c r="B21" s="10" t="inlineStr">
        <x:is>
          <x:t xml:space="preserve">타입</x:t>
        </x:is>
      </x:c>
      <x:c r="C21" s="10" t="inlineStr">
        <x:is>
          <x:t xml:space="preserve">필수/nullable</x:t>
        </x:is>
      </x:c>
      <x:c r="D21" s="11" t="inlineStr">
        <x:is>
          <x:t xml:space="preserve">필드 의미</x:t>
        </x:is>
      </x:c>
    </x:row>
    <x:row r="22">
      <x:c r="A22" s="102" t="inlineStr">
        <x:is>
          <x:t xml:space="preserve">Location</x:t>
        </x:is>
      </x:c>
      <x:c r="B22" s="103" t="inlineStr">
        <x:is>
          <x:t xml:space="preserve">header</x:t>
        </x:is>
      </x:c>
      <x:c r="C22" s="103" t="inlineStr">
        <x:is>
          <x:t xml:space="preserve">필수</x:t>
        </x:is>
      </x:c>
      <x:c r="D22" s="104" t="inlineStr">
        <x:is>
          <x:t xml:space="preserve">카카오 OAuth 인증 페이지 URL</x:t>
        </x:is>
      </x:c>
    </x:row>
    <x:row r="24" ht="24" customHeight="1">
      <x:c r="A24" s="113" t="inlineStr">
        <x:is>
          <x:t xml:space="preserve">오류 응답</x:t>
        </x:is>
      </x:c>
      <x:c r="B24" s="106" t="n"/>
      <x:c r="C24" s="106" t="n"/>
      <x:c r="D24" s="106" t="n"/>
      <x:c r="E24" s="106" t="n"/>
      <x:c r="F24" s="106" t="n"/>
      <x:c r="G24" s="106" t="n"/>
      <x:c r="H24" s="106" t="n"/>
    </x:row>
    <x:row r="25">
      <x:c r="A25" s="9" t="inlineStr">
        <x:is>
          <x:t xml:space="preserve">HTTP 상태</x:t>
        </x:is>
      </x:c>
      <x:c r="B25" s="10" t="inlineStr">
        <x:is>
          <x:t xml:space="preserve">오류 코드</x:t>
        </x:is>
      </x:c>
      <x:c r="C25" s="10" t="inlineStr">
        <x:is>
          <x:t xml:space="preserve">발생 조건</x:t>
        </x:is>
      </x:c>
      <x:c r="D25" s="10" t="inlineStr">
        <x:is>
          <x:t xml:space="preserve">프론트 처리</x:t>
        </x:is>
      </x:c>
      <x:c r="E25" s="11" t="inlineStr">
        <x:is>
          <x:t xml:space="preserve">현재 상태</x:t>
        </x:is>
      </x:c>
    </x:row>
    <x:row r="26">
      <x:c r="A26" s="102" t="inlineStr">
        <x:is>
          <x:t xml:space="preserve">500 Internal Server Error</x:t>
        </x:is>
      </x:c>
      <x:c r="B26" s="103" t="inlineStr">
        <x:is>
          <x:t xml:space="preserve">INTERNAL_ERROR</x:t>
        </x:is>
      </x:c>
      <x:c r="C26" s="103" t="inlineStr">
        <x:is>
          <x:t xml:space="preserve">예상하지 못한 서버 오류</x:t>
        </x:is>
      </x:c>
      <x:c r="D26" s="103" t="inlineStr">
        <x:is>
          <x:t xml:space="preserve">재시도 안내 후 지속 시 오류 정보 전달</x:t>
        </x:is>
      </x:c>
      <x:c r="E26" s="104" t="inlineStr">
        <x:is>
          <x:t xml:space="preserve">현재 구현</x:t>
        </x:is>
      </x:c>
    </x:row>
  </x:sheetData>
  <x:mergeCells>
    <x:mergeCell ref="A4:H4"/>
    <x:mergeCell ref="A20:H20"/>
    <x:mergeCell ref="A24:H24"/>
    <x:mergeCell ref="A16:H16"/>
    <x:mergeCell ref="A10:H10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84ebffc8a1964974"/>
    <x:tablePart xmlns:r="http://schemas.openxmlformats.org/officeDocument/2006/relationships" r:id="R45bd60cc37c24f13"/>
    <x:tablePart xmlns:r="http://schemas.openxmlformats.org/officeDocument/2006/relationships" r:id="R8b24808573064571"/>
  </x:tableParts>
</x:worksheet>
</file>

<file path=xl/worksheets/sheet3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API-002  ·  카카오 OAuth callback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/auth/kakao/callback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/auth/kakao/callback</x:t>
        </x:is>
      </x:c>
      <x:c r="E5" s="82" t="inlineStr">
        <x:is>
          <x:t xml:space="preserve">성공 상태</x:t>
        </x:is>
      </x:c>
      <x:c r="F5" s="46" t="inlineStr">
        <x:is>
          <x:t xml:space="preserve">302 Found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카카오 OAuth callback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불필요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프론트 직접 호출 없음: 카카오 redirect target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/auth/kakao/callback?code=&lt;authorizationCode&gt;&amp;state=&lt;state&gt; HTTP/1.1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70" customHeight="1">
      <x:c r="A14" s="115" t="inlineStr">
        <x:is>
          <x:t xml:space="preserve">HTTP/1.1 302 Found
Set-Cookie: access_token=&lt;token&gt;; HttpOnly; Secure; SameSite=Lax
Set-Cookie: refresh_token=&lt;token&gt;; HttpOnly; Secure; SameSite=Lax
Location: https://rewrite.example.com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query</x:t>
        </x:is>
      </x:c>
      <x:c r="B18" s="46" t="inlineStr">
        <x:is>
          <x:t xml:space="preserve">code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카카오가 전달한 authorization code</x:t>
        </x:is>
      </x:c>
    </x:row>
    <x:row r="19">
      <x:c r="A19" s="71" t="inlineStr">
        <x:is>
          <x:t xml:space="preserve">query</x:t>
        </x:is>
      </x:c>
      <x:c r="B19" s="48" t="inlineStr">
        <x:is>
          <x:t xml:space="preserve">state</x:t>
        </x:is>
      </x:c>
      <x:c r="C19" s="48" t="inlineStr">
        <x:is>
          <x:t xml:space="preserve">string</x:t>
        </x:is>
      </x:c>
      <x:c r="D19" s="48" t="inlineStr">
        <x:is>
          <x:t xml:space="preserve">필수</x:t>
        </x:is>
      </x:c>
      <x:c r="E19" s="72" t="inlineStr">
        <x:is>
          <x:t xml:space="preserve">OAuth 요청 위조 방지 상태값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67" t="inlineStr">
        <x:is>
          <x:t xml:space="preserve">Set-Cookie</x:t>
        </x:is>
      </x:c>
      <x:c r="B23" s="46" t="inlineStr">
        <x:is>
          <x:t xml:space="preserve">header</x:t>
        </x:is>
      </x:c>
      <x:c r="C23" s="46" t="inlineStr">
        <x:is>
          <x:t xml:space="preserve">필수</x:t>
        </x:is>
      </x:c>
      <x:c r="D23" s="68" t="inlineStr">
        <x:is>
          <x:t xml:space="preserve">access/refresh token cookie</x:t>
        </x:is>
      </x:c>
    </x:row>
    <x:row r="24">
      <x:c r="A24" s="71" t="inlineStr">
        <x:is>
          <x:t xml:space="preserve">Location</x:t>
        </x:is>
      </x:c>
      <x:c r="B24" s="48" t="inlineStr">
        <x:is>
          <x:t xml:space="preserve">header</x:t>
        </x:is>
      </x:c>
      <x:c r="C24" s="48" t="inlineStr">
        <x:is>
          <x:t xml:space="preserve">필수</x:t>
        </x:is>
      </x:c>
      <x:c r="D24" s="72" t="inlineStr">
        <x:is>
          <x:t xml:space="preserve">로그인 완료 후 이동 URL</x:t>
        </x:is>
      </x:c>
    </x:row>
    <x:row r="26" ht="24" customHeight="1">
      <x:c r="A26" s="113" t="inlineStr">
        <x:is>
          <x:t xml:space="preserve">오류 응답</x:t>
        </x:is>
      </x:c>
      <x:c r="B26" s="106" t="n"/>
      <x:c r="C26" s="106" t="n"/>
      <x:c r="D26" s="106" t="n"/>
      <x:c r="E26" s="106" t="n"/>
      <x:c r="F26" s="106" t="n"/>
      <x:c r="G26" s="106" t="n"/>
      <x:c r="H26" s="106" t="n"/>
    </x:row>
    <x:row r="27">
      <x:c r="A27" s="9" t="inlineStr">
        <x:is>
          <x:t xml:space="preserve">HTTP 상태</x:t>
        </x:is>
      </x:c>
      <x:c r="B27" s="10" t="inlineStr">
        <x:is>
          <x:t xml:space="preserve">오류 코드</x:t>
        </x:is>
      </x:c>
      <x:c r="C27" s="10" t="inlineStr">
        <x:is>
          <x:t xml:space="preserve">발생 조건</x:t>
        </x:is>
      </x:c>
      <x:c r="D27" s="10" t="inlineStr">
        <x:is>
          <x:t xml:space="preserve">프론트 처리</x:t>
        </x:is>
      </x:c>
      <x:c r="E27" s="11" t="inlineStr">
        <x:is>
          <x:t xml:space="preserve">현재 상태</x:t>
        </x:is>
      </x:c>
    </x:row>
    <x:row r="28">
      <x:c r="A28" s="67" t="inlineStr">
        <x:is>
          <x:t xml:space="preserve">400 Bad Request</x:t>
        </x:is>
      </x:c>
      <x:c r="B28" s="46" t="inlineStr">
        <x:is>
          <x:t xml:space="preserve">VALIDATION_ERROR</x:t>
        </x:is>
      </x:c>
      <x:c r="C28" s="46" t="inlineStr">
        <x:is>
          <x:t xml:space="preserve">요청 값이 제약 조건을 위반함</x:t>
        </x:is>
      </x:c>
      <x:c r="D28" s="46" t="inlineStr">
        <x:is>
          <x:t xml:space="preserve">error.details의 field/reason을 입력 항목에 표시</x:t>
        </x:is>
      </x:c>
      <x:c r="E28" s="68" t="inlineStr">
        <x:is>
          <x:t xml:space="preserve">현재 구현</x:t>
        </x:is>
      </x:c>
    </x:row>
    <x:row r="29">
      <x:c r="A29" s="71" t="inlineStr">
        <x:is>
          <x:t xml:space="preserve">500 Internal Server Error</x:t>
        </x:is>
      </x:c>
      <x:c r="B29" s="48" t="inlineStr">
        <x:is>
          <x:t xml:space="preserve">INTERNAL_ERROR</x:t>
        </x:is>
      </x:c>
      <x:c r="C29" s="48" t="inlineStr">
        <x:is>
          <x:t xml:space="preserve">예상하지 못한 서버 오류</x:t>
        </x:is>
      </x:c>
      <x:c r="D29" s="48" t="inlineStr">
        <x:is>
          <x:t xml:space="preserve">재시도 안내 후 지속 시 오류 정보 전달</x:t>
        </x:is>
      </x:c>
      <x:c r="E29" s="72" t="inlineStr">
        <x:is>
          <x:t xml:space="preserve">현재 구현</x:t>
        </x:is>
      </x:c>
    </x:row>
  </x:sheetData>
  <x:mergeCells>
    <x:mergeCell ref="A4:H4"/>
    <x:mergeCell ref="A26:H26"/>
    <x:mergeCell ref="A21:H21"/>
    <x:mergeCell ref="A16:H16"/>
    <x:mergeCell ref="A10:H10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e71f3275e31343d8"/>
    <x:tablePart xmlns:r="http://schemas.openxmlformats.org/officeDocument/2006/relationships" r:id="Rf6e5b6d315eb44c5"/>
    <x:tablePart xmlns:r="http://schemas.openxmlformats.org/officeDocument/2006/relationships" r:id="Rffe176b852bf4a56"/>
  </x:tableParts>
</x:worksheet>
</file>

<file path=xl/worksheets/sheet4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API-003  ·  상태 변경 요청용 CSRF 토큰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/auth/csrf-token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/auth/csrf-token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상태 변경 요청용 CSRF 토큰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/auth/csrf-token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98" customHeight="1">
      <x:c r="A14" s="115" t="inlineStr">
        <x:is>
          <x:t xml:space="preserve">HTTP/1.1 200 OK
Content-Type: application/json
{
  "csrfToken": "csrf-token-value"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102" t="inlineStr">
        <x:is>
          <x:t xml:space="preserve">cookie</x:t>
        </x:is>
      </x:c>
      <x:c r="B18" s="103" t="inlineStr">
        <x:is>
          <x:t xml:space="preserve">access_token</x:t>
        </x:is>
      </x:c>
      <x:c r="C18" s="103" t="inlineStr">
        <x:is>
          <x:t xml:space="preserve">string</x:t>
        </x:is>
      </x:c>
      <x:c r="D18" s="103" t="inlineStr">
        <x:is>
          <x:t xml:space="preserve">계약상 필수 (현재 미검증)</x:t>
        </x:is>
      </x:c>
      <x:c r="E18" s="104" t="inlineStr">
        <x:is>
          <x:t xml:space="preserve">현재 사용자 인증 cookie</x:t>
        </x:is>
      </x:c>
    </x:row>
    <x:row r="20" ht="24" customHeight="1">
      <x:c r="A20" s="113" t="inlineStr">
        <x:is>
          <x:t xml:space="preserve">응답 필드 설명</x:t>
        </x:is>
      </x:c>
      <x:c r="B20" s="106" t="n"/>
      <x:c r="C20" s="106" t="n"/>
      <x:c r="D20" s="106" t="n"/>
      <x:c r="E20" s="106" t="n"/>
      <x:c r="F20" s="106" t="n"/>
      <x:c r="G20" s="106" t="n"/>
      <x:c r="H20" s="106" t="n"/>
    </x:row>
    <x:row r="21">
      <x:c r="A21" s="9" t="inlineStr">
        <x:is>
          <x:t xml:space="preserve">필드 경로</x:t>
        </x:is>
      </x:c>
      <x:c r="B21" s="10" t="inlineStr">
        <x:is>
          <x:t xml:space="preserve">타입</x:t>
        </x:is>
      </x:c>
      <x:c r="C21" s="10" t="inlineStr">
        <x:is>
          <x:t xml:space="preserve">필수/nullable</x:t>
        </x:is>
      </x:c>
      <x:c r="D21" s="11" t="inlineStr">
        <x:is>
          <x:t xml:space="preserve">필드 의미</x:t>
        </x:is>
      </x:c>
    </x:row>
    <x:row r="22">
      <x:c r="A22" s="102" t="inlineStr">
        <x:is>
          <x:t xml:space="preserve">csrfToken</x:t>
        </x:is>
      </x:c>
      <x:c r="B22" s="103" t="inlineStr">
        <x:is>
          <x:t xml:space="preserve">string</x:t>
        </x:is>
      </x:c>
      <x:c r="C22" s="103" t="inlineStr">
        <x:is>
          <x:t xml:space="preserve">필수</x:t>
        </x:is>
      </x:c>
      <x:c r="D22" s="104" t="inlineStr">
        <x:is>
          <x:t xml:space="preserve">상태 변경 요청에 사용할 CSRF 토큰</x:t>
        </x:is>
      </x:c>
    </x:row>
    <x:row r="24" ht="24" customHeight="1">
      <x:c r="A24" s="113" t="inlineStr">
        <x:is>
          <x:t xml:space="preserve">오류 응답</x:t>
        </x:is>
      </x:c>
      <x:c r="B24" s="106" t="n"/>
      <x:c r="C24" s="106" t="n"/>
      <x:c r="D24" s="106" t="n"/>
      <x:c r="E24" s="106" t="n"/>
      <x:c r="F24" s="106" t="n"/>
      <x:c r="G24" s="106" t="n"/>
      <x:c r="H24" s="106" t="n"/>
    </x:row>
    <x:row r="25">
      <x:c r="A25" s="9" t="inlineStr">
        <x:is>
          <x:t xml:space="preserve">HTTP 상태</x:t>
        </x:is>
      </x:c>
      <x:c r="B25" s="10" t="inlineStr">
        <x:is>
          <x:t xml:space="preserve">오류 코드</x:t>
        </x:is>
      </x:c>
      <x:c r="C25" s="10" t="inlineStr">
        <x:is>
          <x:t xml:space="preserve">발생 조건</x:t>
        </x:is>
      </x:c>
      <x:c r="D25" s="10" t="inlineStr">
        <x:is>
          <x:t xml:space="preserve">프론트 처리</x:t>
        </x:is>
      </x:c>
      <x:c r="E25" s="11" t="inlineStr">
        <x:is>
          <x:t xml:space="preserve">현재 상태</x:t>
        </x:is>
      </x:c>
    </x:row>
    <x:row r="26">
      <x:c r="A26" s="67" t="inlineStr">
        <x:is>
          <x:t xml:space="preserve">401 Unauthorized</x:t>
        </x:is>
      </x:c>
      <x:c r="B26" s="46" t="inlineStr">
        <x:is>
          <x:t xml:space="preserve">UNAUTHORIZED</x:t>
        </x:is>
      </x:c>
      <x:c r="C26" s="46" t="inlineStr">
        <x:is>
          <x:t xml:space="preserve">인증 쿠키가 없거나 유효하지 않음</x:t>
        </x:is>
      </x:c>
      <x:c r="D26" s="46" t="inlineStr">
        <x:is>
          <x:t xml:space="preserve">로그인 화면으로 이동</x:t>
        </x:is>
      </x:c>
      <x:c r="E26" s="68" t="inlineStr">
        <x:is>
          <x:t xml:space="preserve">계약 정의·인증 미구현</x:t>
        </x:is>
      </x:c>
    </x:row>
    <x:row r="27">
      <x:c r="A27" s="71" t="inlineStr">
        <x:is>
          <x:t xml:space="preserve">500 Internal Server Error</x:t>
        </x:is>
      </x:c>
      <x:c r="B27" s="48" t="inlineStr">
        <x:is>
          <x:t xml:space="preserve">INTERNAL_ERROR</x:t>
        </x:is>
      </x:c>
      <x:c r="C27" s="48" t="inlineStr">
        <x:is>
          <x:t xml:space="preserve">예상하지 못한 서버 오류</x:t>
        </x:is>
      </x:c>
      <x:c r="D27" s="48" t="inlineStr">
        <x:is>
          <x:t xml:space="preserve">재시도 안내 후 지속 시 오류 정보 전달</x:t>
        </x:is>
      </x:c>
      <x:c r="E27" s="72" t="inlineStr">
        <x:is>
          <x:t xml:space="preserve">현재 구현</x:t>
        </x:is>
      </x:c>
    </x:row>
  </x:sheetData>
  <x:mergeCells>
    <x:mergeCell ref="A4:H4"/>
    <x:mergeCell ref="A20:H20"/>
    <x:mergeCell ref="A24:H24"/>
    <x:mergeCell ref="A16:H16"/>
    <x:mergeCell ref="A10:H10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42d42212d15b4839"/>
    <x:tablePart xmlns:r="http://schemas.openxmlformats.org/officeDocument/2006/relationships" r:id="R7e4947b0013a4c43"/>
    <x:tablePart xmlns:r="http://schemas.openxmlformats.org/officeDocument/2006/relationships" r:id="R547f524710b0430f"/>
  </x:tableParts>
</x:worksheet>
</file>

<file path=xl/worksheets/sheet5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API-004  ·  refresh token rotation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/auth/refresh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/auth/refresh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refresh token rotation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refresh_token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12" customHeight="1">
      <x:c r="A11" s="115" t="inlineStr">
        <x:is>
          <x:t xml:space="preserve">POST /auth/refresh HTTP/1.1
Accept: application/json
Cookie: refresh_token=&lt;refresh_token&gt;
X-CSRF-Token: &lt;csrf-token&gt;
Content-Type: application/json
{}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26" customHeight="1">
      <x:c r="A14" s="115" t="inlineStr">
        <x:is>
          <x:t xml:space="preserve">HTTP/1.1 200 OK
Content-Type: application/json
Set-Cookie: access_token=&lt;new-token&gt;; HttpOnly; Secure
Set-Cookie: refresh_token=&lt;new-token&gt;; HttpOnly; Secure
{
  "success": true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header</x:t>
        </x:is>
      </x:c>
      <x:c r="B18" s="46" t="inlineStr">
        <x:is>
          <x:t xml:space="preserve">X-CSRF-Token</x:t>
        </x:is>
      </x:c>
      <x:c r="C18" s="46" t="inlineStr">
        <x:is>
          <x:t xml:space="preserve">string</x:t>
        </x:is>
      </x:c>
      <x:c r="D18" s="46" t="inlineStr">
        <x:is>
          <x:t xml:space="preserve">계약상 필수 (현재 미검증)</x:t>
        </x:is>
      </x:c>
      <x:c r="E18" s="68" t="inlineStr">
        <x:is>
          <x:t xml:space="preserve">상태 변경 요청용 CSRF 토큰</x:t>
        </x:is>
      </x:c>
    </x:row>
    <x:row r="19">
      <x:c r="A19" s="71" t="inlineStr">
        <x:is>
          <x:t xml:space="preserve">cookie</x:t>
        </x:is>
      </x:c>
      <x:c r="B19" s="48" t="inlineStr">
        <x:is>
          <x:t xml:space="preserve">refresh_token</x:t>
        </x:is>
      </x:c>
      <x:c r="C19" s="48" t="inlineStr">
        <x:is>
          <x:t xml:space="preserve">string</x:t>
        </x:is>
      </x:c>
      <x:c r="D19" s="48" t="inlineStr">
        <x:is>
          <x:t xml:space="preserve">계약상 필수 (현재 미검증)</x:t>
        </x:is>
      </x:c>
      <x:c r="E19" s="72" t="inlineStr">
        <x:is>
          <x:t xml:space="preserve">회전 대상 refresh token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102" t="inlineStr">
        <x:is>
          <x:t xml:space="preserve">success</x:t>
        </x:is>
      </x:c>
      <x:c r="B23" s="103" t="inlineStr">
        <x:is>
          <x:t xml:space="preserve">boolean</x:t>
        </x:is>
      </x:c>
      <x:c r="C23" s="103" t="inlineStr">
        <x:is>
          <x:t xml:space="preserve">필수</x:t>
        </x:is>
      </x:c>
      <x:c r="D23" s="104" t="inlineStr">
        <x:is>
          <x:t xml:space="preserve">처리 성공 여부</x:t>
        </x:is>
      </x:c>
    </x:row>
    <x:row r="25" ht="24" customHeight="1">
      <x:c r="A25" s="113" t="inlineStr">
        <x:is>
          <x:t xml:space="preserve">오류 응답</x:t>
        </x:is>
      </x:c>
      <x:c r="B25" s="106" t="n"/>
      <x:c r="C25" s="106" t="n"/>
      <x:c r="D25" s="106" t="n"/>
      <x:c r="E25" s="106" t="n"/>
      <x:c r="F25" s="106" t="n"/>
      <x:c r="G25" s="106" t="n"/>
      <x:c r="H25" s="106" t="n"/>
    </x:row>
    <x:row r="26">
      <x:c r="A26" s="9" t="inlineStr">
        <x:is>
          <x:t xml:space="preserve">HTTP 상태</x:t>
        </x:is>
      </x:c>
      <x:c r="B26" s="10" t="inlineStr">
        <x:is>
          <x:t xml:space="preserve">오류 코드</x:t>
        </x:is>
      </x:c>
      <x:c r="C26" s="10" t="inlineStr">
        <x:is>
          <x:t xml:space="preserve">발생 조건</x:t>
        </x:is>
      </x:c>
      <x:c r="D26" s="10" t="inlineStr">
        <x:is>
          <x:t xml:space="preserve">프론트 처리</x:t>
        </x:is>
      </x:c>
      <x:c r="E26" s="11" t="inlineStr">
        <x:is>
          <x:t xml:space="preserve">현재 상태</x:t>
        </x:is>
      </x:c>
    </x:row>
    <x:row r="27">
      <x:c r="A27" s="67" t="inlineStr">
        <x:is>
          <x:t xml:space="preserve">401 Unauthorized</x:t>
        </x:is>
      </x:c>
      <x:c r="B27" s="46" t="inlineStr">
        <x:is>
          <x:t xml:space="preserve">UNAUTHORIZED</x:t>
        </x:is>
      </x:c>
      <x:c r="C27" s="46" t="inlineStr">
        <x:is>
          <x:t xml:space="preserve">유효하지 않은 refresh token입니다.</x:t>
        </x:is>
      </x:c>
      <x:c r="D27" s="46" t="inlineStr">
        <x:is>
          <x:t xml:space="preserve">로그인 화면으로 이동</x:t>
        </x:is>
      </x:c>
      <x:c r="E27" s="68" t="inlineStr">
        <x:is>
          <x:t xml:space="preserve">계약 정의·인증 미구현</x:t>
        </x:is>
      </x:c>
    </x:row>
    <x:row r="28">
      <x:c r="A28" s="69" t="inlineStr">
        <x:is>
          <x:t xml:space="preserve">403 Forbidden</x:t>
        </x:is>
      </x:c>
      <x:c r="B28" s="47" t="inlineStr">
        <x:is>
          <x:t xml:space="preserve">CSRF_INVALID</x:t>
        </x:is>
      </x:c>
      <x:c r="C28" s="47" t="inlineStr">
        <x:is>
          <x:t xml:space="preserve">CSRF 토큰이 없거나 일치하지 않음</x:t>
        </x:is>
      </x:c>
      <x:c r="D28" s="47" t="inlineStr">
        <x:is>
          <x:t xml:space="preserve">토큰 갱신 후 1회 재시도</x:t>
        </x:is>
      </x:c>
      <x:c r="E28" s="70" t="inlineStr">
        <x:is>
          <x:t xml:space="preserve">계약 정의·CSRF 미구현</x:t>
        </x:is>
      </x:c>
    </x:row>
    <x:row r="29">
      <x:c r="A29" s="71" t="inlineStr">
        <x:is>
          <x:t xml:space="preserve">500 Internal Server Error</x:t>
        </x:is>
      </x:c>
      <x:c r="B29" s="48" t="inlineStr">
        <x:is>
          <x:t xml:space="preserve">INTERNAL_ERROR</x:t>
        </x:is>
      </x:c>
      <x:c r="C29" s="48" t="inlineStr">
        <x:is>
          <x:t xml:space="preserve">예상하지 못한 서버 오류</x:t>
        </x:is>
      </x:c>
      <x:c r="D29" s="48" t="inlineStr">
        <x:is>
          <x:t xml:space="preserve">재시도 안내 후 지속 시 오류 정보 전달</x:t>
        </x:is>
      </x:c>
      <x:c r="E29" s="72" t="inlineStr">
        <x:is>
          <x:t xml:space="preserve">현재 구현</x:t>
        </x:is>
      </x:c>
    </x:row>
  </x:sheetData>
  <x:mergeCells>
    <x:mergeCell ref="A4:H4"/>
    <x:mergeCell ref="A21:H21"/>
    <x:mergeCell ref="A25:H25"/>
    <x:mergeCell ref="A16:H16"/>
    <x:mergeCell ref="A10:H10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e69a32a2ad834a29"/>
    <x:tablePart xmlns:r="http://schemas.openxmlformats.org/officeDocument/2006/relationships" r:id="Re188fd20ea1649b8"/>
    <x:tablePart xmlns:r="http://schemas.openxmlformats.org/officeDocument/2006/relationships" r:id="R474cfd80b923411e"/>
  </x:tableParts>
</x:worksheet>
</file>

<file path=xl/worksheets/sheet6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API-005  ·  내 정보 조회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/user/me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/user/me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내 정보 조회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/user/me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54" customHeight="1">
      <x:c r="A14" s="115" t="inlineStr">
        <x:is>
          <x:t xml:space="preserve">HTTP/1.1 200 OK
Content-Type: application/json
{
  "id": "user_01HZ...",
  "nickname": "홍길동",
  "profileImageUrl": "https://...",
  "provider": "KAKAO",
  "createdAt": "2026-06-20T14:00:00"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102" t="inlineStr">
        <x:is>
          <x:t xml:space="preserve">cookie</x:t>
        </x:is>
      </x:c>
      <x:c r="B18" s="103" t="inlineStr">
        <x:is>
          <x:t xml:space="preserve">access_token</x:t>
        </x:is>
      </x:c>
      <x:c r="C18" s="103" t="inlineStr">
        <x:is>
          <x:t xml:space="preserve">string</x:t>
        </x:is>
      </x:c>
      <x:c r="D18" s="103" t="inlineStr">
        <x:is>
          <x:t xml:space="preserve">계약상 필수 (현재 미검증)</x:t>
        </x:is>
      </x:c>
      <x:c r="E18" s="104" t="inlineStr">
        <x:is>
          <x:t xml:space="preserve">현재 사용자 인증 cookie</x:t>
        </x:is>
      </x:c>
    </x:row>
    <x:row r="20" ht="24" customHeight="1">
      <x:c r="A20" s="113" t="inlineStr">
        <x:is>
          <x:t xml:space="preserve">응답 필드 설명</x:t>
        </x:is>
      </x:c>
      <x:c r="B20" s="106" t="n"/>
      <x:c r="C20" s="106" t="n"/>
      <x:c r="D20" s="106" t="n"/>
      <x:c r="E20" s="106" t="n"/>
      <x:c r="F20" s="106" t="n"/>
      <x:c r="G20" s="106" t="n"/>
      <x:c r="H20" s="106" t="n"/>
    </x:row>
    <x:row r="21">
      <x:c r="A21" s="9" t="inlineStr">
        <x:is>
          <x:t xml:space="preserve">필드 경로</x:t>
        </x:is>
      </x:c>
      <x:c r="B21" s="10" t="inlineStr">
        <x:is>
          <x:t xml:space="preserve">타입</x:t>
        </x:is>
      </x:c>
      <x:c r="C21" s="10" t="inlineStr">
        <x:is>
          <x:t xml:space="preserve">필수/nullable</x:t>
        </x:is>
      </x:c>
      <x:c r="D21" s="11" t="inlineStr">
        <x:is>
          <x:t xml:space="preserve">필드 의미</x:t>
        </x:is>
      </x:c>
    </x:row>
    <x:row r="22">
      <x:c r="A22" s="67" t="inlineStr">
        <x:is>
          <x:t xml:space="preserve">id</x:t>
        </x:is>
      </x:c>
      <x:c r="B22" s="46" t="inlineStr">
        <x:is>
          <x:t xml:space="preserve">string</x:t>
        </x:is>
      </x:c>
      <x:c r="C22" s="46" t="inlineStr">
        <x:is>
          <x:t xml:space="preserve">필수</x:t>
        </x:is>
      </x:c>
      <x:c r="D22" s="68" t="inlineStr">
        <x:is>
          <x:t xml:space="preserve">리소스 고유 ID</x:t>
        </x:is>
      </x:c>
    </x:row>
    <x:row r="23">
      <x:c r="A23" s="69" t="inlineStr">
        <x:is>
          <x:t xml:space="preserve">nickname</x:t>
        </x:is>
      </x:c>
      <x:c r="B23" s="47" t="inlineStr">
        <x:is>
          <x:t xml:space="preserve">string</x:t>
        </x:is>
      </x:c>
      <x:c r="C23" s="47" t="inlineStr">
        <x:is>
          <x:t xml:space="preserve">필수</x:t>
        </x:is>
      </x:c>
      <x:c r="D23" s="70" t="inlineStr">
        <x:is>
          <x:t xml:space="preserve">사용자 닉네임</x:t>
        </x:is>
      </x:c>
    </x:row>
    <x:row r="24">
      <x:c r="A24" s="69" t="inlineStr">
        <x:is>
          <x:t xml:space="preserve">profileImageUrl</x:t>
        </x:is>
      </x:c>
      <x:c r="B24" s="47" t="inlineStr">
        <x:is>
          <x:t xml:space="preserve">string</x:t>
        </x:is>
      </x:c>
      <x:c r="C24" s="47" t="inlineStr">
        <x:is>
          <x:t xml:space="preserve">필수</x:t>
        </x:is>
      </x:c>
      <x:c r="D24" s="70" t="inlineStr">
        <x:is>
          <x:t xml:space="preserve">프로필 이미지 URL</x:t>
        </x:is>
      </x:c>
    </x:row>
    <x:row r="25">
      <x:c r="A25" s="69" t="inlineStr">
        <x:is>
          <x:t xml:space="preserve">provider</x:t>
        </x:is>
      </x:c>
      <x:c r="B25" s="47" t="inlineStr">
        <x:is>
          <x:t xml:space="preserve">string</x:t>
        </x:is>
      </x:c>
      <x:c r="C25" s="47" t="inlineStr">
        <x:is>
          <x:t xml:space="preserve">필수</x:t>
        </x:is>
      </x:c>
      <x:c r="D25" s="70" t="inlineStr">
        <x:is>
          <x:t xml:space="preserve">로그인 제공자</x:t>
        </x:is>
      </x:c>
    </x:row>
    <x:row r="26">
      <x:c r="A26" s="71" t="inlineStr">
        <x:is>
          <x:t xml:space="preserve">createdAt</x:t>
        </x:is>
      </x:c>
      <x:c r="B26" s="48" t="inlineStr">
        <x:is>
          <x:t xml:space="preserve">string</x:t>
        </x:is>
      </x:c>
      <x:c r="C26" s="48" t="inlineStr">
        <x:is>
          <x:t xml:space="preserve">필수</x:t>
        </x:is>
      </x:c>
      <x:c r="D26" s="72" t="inlineStr">
        <x:is>
          <x:t xml:space="preserve">생성 일시</x:t>
        </x:is>
      </x:c>
    </x:row>
    <x:row r="28" ht="24" customHeight="1">
      <x:c r="A28" s="113" t="inlineStr">
        <x:is>
          <x:t xml:space="preserve">오류 응답</x:t>
        </x:is>
      </x:c>
      <x:c r="B28" s="106" t="n"/>
      <x:c r="C28" s="106" t="n"/>
      <x:c r="D28" s="106" t="n"/>
      <x:c r="E28" s="106" t="n"/>
      <x:c r="F28" s="106" t="n"/>
      <x:c r="G28" s="106" t="n"/>
      <x:c r="H28" s="106" t="n"/>
    </x:row>
    <x:row r="29">
      <x:c r="A29" s="9" t="inlineStr">
        <x:is>
          <x:t xml:space="preserve">HTTP 상태</x:t>
        </x:is>
      </x:c>
      <x:c r="B29" s="10" t="inlineStr">
        <x:is>
          <x:t xml:space="preserve">오류 코드</x:t>
        </x:is>
      </x:c>
      <x:c r="C29" s="10" t="inlineStr">
        <x:is>
          <x:t xml:space="preserve">발생 조건</x:t>
        </x:is>
      </x:c>
      <x:c r="D29" s="10" t="inlineStr">
        <x:is>
          <x:t xml:space="preserve">프론트 처리</x:t>
        </x:is>
      </x:c>
      <x:c r="E29" s="11" t="inlineStr">
        <x:is>
          <x:t xml:space="preserve">현재 상태</x:t>
        </x:is>
      </x:c>
    </x:row>
    <x:row r="30">
      <x:c r="A30" s="67" t="inlineStr">
        <x:is>
          <x:t xml:space="preserve">401 Unauthorized</x:t>
        </x:is>
      </x:c>
      <x:c r="B30" s="46" t="inlineStr">
        <x:is>
          <x:t xml:space="preserve">UNAUTHORIZED</x:t>
        </x:is>
      </x:c>
      <x:c r="C30" s="46" t="inlineStr">
        <x:is>
          <x:t xml:space="preserve">인증 쿠키가 없거나 유효하지 않음</x:t>
        </x:is>
      </x:c>
      <x:c r="D30" s="46" t="inlineStr">
        <x:is>
          <x:t xml:space="preserve">로그인 화면으로 이동</x:t>
        </x:is>
      </x:c>
      <x:c r="E30" s="68" t="inlineStr">
        <x:is>
          <x:t xml:space="preserve">계약 정의·인증 미구현</x:t>
        </x:is>
      </x:c>
    </x:row>
    <x:row r="31">
      <x:c r="A31" s="71" t="inlineStr">
        <x:is>
          <x:t xml:space="preserve">500 Internal Server Error</x:t>
        </x:is>
      </x:c>
      <x:c r="B31" s="48" t="inlineStr">
        <x:is>
          <x:t xml:space="preserve">INTERNAL_ERROR</x:t>
        </x:is>
      </x:c>
      <x:c r="C31" s="48" t="inlineStr">
        <x:is>
          <x:t xml:space="preserve">예상하지 못한 서버 오류</x:t>
        </x:is>
      </x:c>
      <x:c r="D31" s="48" t="inlineStr">
        <x:is>
          <x:t xml:space="preserve">재시도 안내 후 지속 시 오류 정보 전달</x:t>
        </x:is>
      </x:c>
      <x:c r="E31" s="72" t="inlineStr">
        <x:is>
          <x:t xml:space="preserve">현재 구현</x:t>
        </x:is>
      </x:c>
    </x:row>
  </x:sheetData>
  <x:mergeCells>
    <x:mergeCell ref="A4:H4"/>
    <x:mergeCell ref="A20:H20"/>
    <x:mergeCell ref="A16:H16"/>
    <x:mergeCell ref="A10:H10"/>
    <x:mergeCell ref="A28:H28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16e14694d0d240eb"/>
    <x:tablePart xmlns:r="http://schemas.openxmlformats.org/officeDocument/2006/relationships" r:id="R623e2835275644d9"/>
    <x:tablePart xmlns:r="http://schemas.openxmlformats.org/officeDocument/2006/relationships" r:id="R88ec0a258c394fd2"/>
  </x:tableParts>
</x:worksheet>
</file>

<file path=xl/worksheets/sheet7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API-006  ·  로그아웃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/auth/logout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/auth/logout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로그아웃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access_token·refresh_token 쿠키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84" customHeight="1">
      <x:c r="A11" s="115" t="inlineStr">
        <x:is>
          <x:t xml:space="preserve">POST /auth/logout HTTP/1.1
Accept: application/json
Cookie: access_token=&lt;access_token&gt;
Cookie: refresh_token=&lt;refresh_token&gt;
X-CSRF-Token: &lt;csrf-token&gt;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26" customHeight="1">
      <x:c r="A14" s="115" t="inlineStr">
        <x:is>
          <x:t xml:space="preserve">HTTP/1.1 200 OK
Content-Type: application/json
Set-Cookie: access_token=; Max-Age=0
Set-Cookie: refresh_token=; Max-Age=0
{
  "success": true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cookie</x:t>
        </x:is>
      </x:c>
      <x:c r="B18" s="46" t="inlineStr">
        <x:is>
          <x:t xml:space="preserve">access_token</x:t>
        </x:is>
      </x:c>
      <x:c r="C18" s="46" t="inlineStr">
        <x:is>
          <x:t xml:space="preserve">string</x:t>
        </x:is>
      </x:c>
      <x:c r="D18" s="46" t="inlineStr">
        <x:is>
          <x:t xml:space="preserve">계약상 필수 (현재 미검증)</x:t>
        </x:is>
      </x:c>
      <x:c r="E18" s="68" t="inlineStr">
        <x:is>
          <x:t xml:space="preserve">현재 사용자 인증 cookie</x:t>
        </x:is>
      </x:c>
    </x:row>
    <x:row r="19">
      <x:c r="A19" s="69" t="inlineStr">
        <x:is>
          <x:t xml:space="preserve">header</x:t>
        </x:is>
      </x:c>
      <x:c r="B19" s="47" t="inlineStr">
        <x:is>
          <x:t xml:space="preserve">X-CSRF-Token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상태 변경 요청용 CSRF 토큰</x:t>
        </x:is>
      </x:c>
    </x:row>
    <x:row r="20">
      <x:c r="A20" s="71" t="inlineStr">
        <x:is>
          <x:t xml:space="preserve">cookie</x:t>
        </x:is>
      </x:c>
      <x:c r="B20" s="48" t="inlineStr">
        <x:is>
          <x:t xml:space="preserve">refresh_token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있으면 함께 만료 처리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102" t="inlineStr">
        <x:is>
          <x:t xml:space="preserve">success</x:t>
        </x:is>
      </x:c>
      <x:c r="B24" s="103" t="inlineStr">
        <x:is>
          <x:t xml:space="preserve">boolean</x:t>
        </x:is>
      </x:c>
      <x:c r="C24" s="103" t="inlineStr">
        <x:is>
          <x:t xml:space="preserve">필수</x:t>
        </x:is>
      </x:c>
      <x:c r="D24" s="104" t="inlineStr">
        <x:is>
          <x:t xml:space="preserve">처리 성공 여부</x:t>
        </x:is>
      </x:c>
    </x:row>
    <x:row r="26" ht="24" customHeight="1">
      <x:c r="A26" s="113" t="inlineStr">
        <x:is>
          <x:t xml:space="preserve">오류 응답</x:t>
        </x:is>
      </x:c>
      <x:c r="B26" s="106" t="n"/>
      <x:c r="C26" s="106" t="n"/>
      <x:c r="D26" s="106" t="n"/>
      <x:c r="E26" s="106" t="n"/>
      <x:c r="F26" s="106" t="n"/>
      <x:c r="G26" s="106" t="n"/>
      <x:c r="H26" s="106" t="n"/>
    </x:row>
    <x:row r="27">
      <x:c r="A27" s="9" t="inlineStr">
        <x:is>
          <x:t xml:space="preserve">HTTP 상태</x:t>
        </x:is>
      </x:c>
      <x:c r="B27" s="10" t="inlineStr">
        <x:is>
          <x:t xml:space="preserve">오류 코드</x:t>
        </x:is>
      </x:c>
      <x:c r="C27" s="10" t="inlineStr">
        <x:is>
          <x:t xml:space="preserve">발생 조건</x:t>
        </x:is>
      </x:c>
      <x:c r="D27" s="10" t="inlineStr">
        <x:is>
          <x:t xml:space="preserve">프론트 처리</x:t>
        </x:is>
      </x:c>
      <x:c r="E27" s="11" t="inlineStr">
        <x:is>
          <x:t xml:space="preserve">현재 상태</x:t>
        </x:is>
      </x:c>
    </x:row>
    <x:row r="28">
      <x:c r="A28" s="67" t="inlineStr">
        <x:is>
          <x:t xml:space="preserve">401 Unauthorized</x:t>
        </x:is>
      </x:c>
      <x:c r="B28" s="46" t="inlineStr">
        <x:is>
          <x:t xml:space="preserve">UNAUTHORIZED</x:t>
        </x:is>
      </x:c>
      <x:c r="C28" s="46" t="inlineStr">
        <x:is>
          <x:t xml:space="preserve">인증 쿠키가 없거나 유효하지 않음</x:t>
        </x:is>
      </x:c>
      <x:c r="D28" s="46" t="inlineStr">
        <x:is>
          <x:t xml:space="preserve">로그인 화면으로 이동</x:t>
        </x:is>
      </x:c>
      <x:c r="E28" s="68" t="inlineStr">
        <x:is>
          <x:t xml:space="preserve">계약 정의·인증 미구현</x:t>
        </x:is>
      </x:c>
    </x:row>
    <x:row r="29">
      <x:c r="A29" s="69" t="inlineStr">
        <x:is>
          <x:t xml:space="preserve">403 Forbidden</x:t>
        </x:is>
      </x:c>
      <x:c r="B29" s="47" t="inlineStr">
        <x:is>
          <x:t xml:space="preserve">CSRF_INVALID</x:t>
        </x:is>
      </x:c>
      <x:c r="C29" s="47" t="inlineStr">
        <x:is>
          <x:t xml:space="preserve">CSRF 토큰이 없거나 일치하지 않음</x:t>
        </x:is>
      </x:c>
      <x:c r="D29" s="47" t="inlineStr">
        <x:is>
          <x:t xml:space="preserve">토큰 갱신 후 1회 재시도</x:t>
        </x:is>
      </x:c>
      <x:c r="E29" s="70" t="inlineStr">
        <x:is>
          <x:t xml:space="preserve">계약 정의·CSRF 미구현</x:t>
        </x:is>
      </x:c>
    </x:row>
    <x:row r="30">
      <x:c r="A30" s="71" t="inlineStr">
        <x:is>
          <x:t xml:space="preserve">500 Internal Server Error</x:t>
        </x:is>
      </x:c>
      <x:c r="B30" s="48" t="inlineStr">
        <x:is>
          <x:t xml:space="preserve">INTERNAL_ERROR</x:t>
        </x:is>
      </x:c>
      <x:c r="C30" s="48" t="inlineStr">
        <x:is>
          <x:t xml:space="preserve">예상하지 못한 서버 오류</x:t>
        </x:is>
      </x:c>
      <x:c r="D30" s="48" t="inlineStr">
        <x:is>
          <x:t xml:space="preserve">재시도 안내 후 지속 시 오류 정보 전달</x:t>
        </x:is>
      </x:c>
      <x:c r="E30" s="72" t="inlineStr">
        <x:is>
          <x:t xml:space="preserve">현재 구현</x:t>
        </x:is>
      </x:c>
    </x:row>
  </x:sheetData>
  <x:mergeCells>
    <x:mergeCell ref="A4:H4"/>
    <x:mergeCell ref="A26:H26"/>
    <x:mergeCell ref="A16:H16"/>
    <x:mergeCell ref="A10:H10"/>
    <x:mergeCell ref="B2:H2"/>
    <x:mergeCell ref="A11:H11"/>
    <x:mergeCell ref="A13:H13"/>
    <x:mergeCell ref="A14:H14"/>
    <x:mergeCell ref="A1:H1"/>
    <x:mergeCell ref="A22:H22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6af4ed3df41742a3"/>
    <x:tablePart xmlns:r="http://schemas.openxmlformats.org/officeDocument/2006/relationships" r:id="R8f345a34f03447d7"/>
    <x:tablePart xmlns:r="http://schemas.openxmlformats.org/officeDocument/2006/relationships" r:id="Re3540c3ca99845a1"/>
  </x:tableParts>
</x:worksheet>
</file>

<file path=xl/worksheets/sheet8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API-007  ·  내 자기소개서 목록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/cover-letters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/cover-letters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내 자기소개서 목록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/cover-letters?page=1&amp;size=9&amp;status=REVIEWED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294" customHeight="1">
      <x:c r="A14" s="115" t="inlineStr">
        <x:is>
          <x:t xml:space="preserve">HTTP/1.1 200 OK
Content-Type: application/json
{
  "items": [
    {
      "id": "cl_01HZ...",
      "title": "2026 상반기 백엔드 개발자 자기소개서",
      "companyName": "Rewrite Corp",
      "positionTitle": "백엔드 개발자",
      "status": "REVIEWED",
      "createdAt": "2026-06-20T14:00:00",
      "latestReviewVersionId": "rv_01HZ..."
    }
  ],
  "page": 1,
  "size": 9,
  "totalItems": 21,
  "totalPages": 3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cookie</x:t>
        </x:is>
      </x:c>
      <x:c r="B18" s="46" t="inlineStr">
        <x:is>
          <x:t xml:space="preserve">access_token</x:t>
        </x:is>
      </x:c>
      <x:c r="C18" s="46" t="inlineStr">
        <x:is>
          <x:t xml:space="preserve">string</x:t>
        </x:is>
      </x:c>
      <x:c r="D18" s="46" t="inlineStr">
        <x:is>
          <x:t xml:space="preserve">계약상 필수 (현재 미검증)</x:t>
        </x:is>
      </x:c>
      <x:c r="E18" s="68" t="inlineStr">
        <x:is>
          <x:t xml:space="preserve">현재 사용자 인증 cookie</x:t>
        </x:is>
      </x:c>
    </x:row>
    <x:row r="19">
      <x:c r="A19" s="69" t="inlineStr">
        <x:is>
          <x:t xml:space="preserve">query</x:t>
        </x:is>
      </x:c>
      <x:c r="B19" s="47" t="inlineStr">
        <x:is>
          <x:t xml:space="preserve">page</x:t>
        </x:is>
      </x:c>
      <x:c r="C19" s="47" t="inlineStr">
        <x:is>
          <x:t xml:space="preserve">integer</x:t>
        </x:is>
      </x:c>
      <x:c r="D19" s="47" t="inlineStr">
        <x:is>
          <x:t xml:space="preserve">선택</x:t>
        </x:is>
      </x:c>
      <x:c r="E19" s="70" t="inlineStr">
        <x:is>
          <x:t xml:space="preserve">1부터 시작; 기본 1</x:t>
        </x:is>
      </x:c>
    </x:row>
    <x:row r="20">
      <x:c r="A20" s="69" t="inlineStr">
        <x:is>
          <x:t xml:space="preserve">query</x:t>
        </x:is>
      </x:c>
      <x:c r="B20" s="47" t="inlineStr">
        <x:is>
          <x:t xml:space="preserve">size</x:t>
        </x:is>
      </x:c>
      <x:c r="C20" s="47" t="inlineStr">
        <x:is>
          <x:t xml:space="preserve">integer</x:t>
        </x:is>
      </x:c>
      <x:c r="D20" s="47" t="inlineStr">
        <x:is>
          <x:t xml:space="preserve">선택</x:t>
        </x:is>
      </x:c>
      <x:c r="E20" s="70" t="inlineStr">
        <x:is>
          <x:t xml:space="preserve">기본 9, 최대 9</x:t>
        </x:is>
      </x:c>
    </x:row>
    <x:row r="21">
      <x:c r="A21" s="71" t="inlineStr">
        <x:is>
          <x:t xml:space="preserve">query</x:t>
        </x:is>
      </x:c>
      <x:c r="B21" s="48" t="inlineStr">
        <x:is>
          <x:t xml:space="preserve">status</x:t>
        </x:is>
      </x:c>
      <x:c r="C21" s="48" t="inlineStr">
        <x:is>
          <x:t xml:space="preserve">enum</x:t>
        </x:is>
      </x:c>
      <x:c r="D21" s="48" t="inlineStr">
        <x:is>
          <x:t xml:space="preserve">선택</x:t>
        </x:is>
      </x:c>
      <x:c r="E21" s="72" t="inlineStr">
        <x:is>
          <x:t xml:space="preserve">DRAFT | REVIEWING | REVIEWED | REVIEW_FAILED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items</x:t>
        </x:is>
      </x:c>
      <x:c r="B25" s="46" t="inlineStr">
        <x:is>
          <x:t xml:space="preserve">array</x:t>
        </x:is>
      </x:c>
      <x:c r="C25" s="46" t="inlineStr">
        <x:is>
          <x:t xml:space="preserve">필수</x:t>
        </x:is>
      </x:c>
      <x:c r="D25" s="68" t="inlineStr">
        <x:is>
          <x:t xml:space="preserve">목록 항목 배열</x:t>
        </x:is>
      </x:c>
    </x:row>
    <x:row r="26">
      <x:c r="A26" s="69" t="inlineStr">
        <x:is>
          <x:t xml:space="preserve">items[].id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리소스 고유 ID</x:t>
        </x:is>
      </x:c>
    </x:row>
    <x:row r="27">
      <x:c r="A27" s="69" t="inlineStr">
        <x:is>
          <x:t xml:space="preserve">items[].title</x:t>
        </x:is>
      </x:c>
      <x:c r="B27" s="47" t="inlineStr">
        <x:is>
          <x:t xml:space="preserve">string</x:t>
        </x:is>
      </x:c>
      <x:c r="C27" s="47" t="inlineStr">
        <x:is>
          <x:t xml:space="preserve">조건부/nullable</x:t>
        </x:is>
      </x:c>
      <x:c r="D27" s="70" t="inlineStr">
        <x:is>
          <x:t xml:space="preserve">자기소개서 제목</x:t>
        </x:is>
      </x:c>
    </x:row>
    <x:row r="28">
      <x:c r="A28" s="69" t="inlineStr">
        <x:is>
          <x:t xml:space="preserve">items[].companyName</x:t>
        </x:is>
      </x:c>
      <x:c r="B28" s="47" t="inlineStr">
        <x:is>
          <x:t xml:space="preserve">string</x:t>
        </x:is>
      </x:c>
      <x:c r="C28" s="47" t="inlineStr">
        <x:is>
          <x:t xml:space="preserve">조건부/nullable</x:t>
        </x:is>
      </x:c>
      <x:c r="D28" s="70" t="inlineStr">
        <x:is>
          <x:t xml:space="preserve">지원 회사명</x:t>
        </x:is>
      </x:c>
    </x:row>
    <x:row r="29">
      <x:c r="A29" s="69" t="inlineStr">
        <x:is>
          <x:t xml:space="preserve">items[].positionTitle</x:t>
        </x:is>
      </x:c>
      <x:c r="B29" s="47" t="inlineStr">
        <x:is>
          <x:t xml:space="preserve">string</x:t>
        </x:is>
      </x:c>
      <x:c r="C29" s="47" t="inlineStr">
        <x:is>
          <x:t xml:space="preserve">조건부/nullable</x:t>
        </x:is>
      </x:c>
      <x:c r="D29" s="70" t="inlineStr">
        <x:is>
          <x:t xml:space="preserve">지원 직무명</x:t>
        </x:is>
      </x:c>
    </x:row>
    <x:row r="30">
      <x:c r="A30" s="69" t="inlineStr">
        <x:is>
          <x:t xml:space="preserve">items[].status</x:t>
        </x:is>
      </x:c>
      <x:c r="B30" s="47" t="inlineStr">
        <x:is>
          <x:t xml:space="preserve">string</x:t>
        </x:is>
      </x:c>
      <x:c r="C30" s="47" t="inlineStr">
        <x:is>
          <x:t xml:space="preserve">필수</x:t>
        </x:is>
      </x:c>
      <x:c r="D30" s="70" t="inlineStr">
        <x:is>
          <x:t xml:space="preserve">현재 처리/리소스 상태; 허용값: DRAFT | REVIEWING | REVIEWED | REVIEW_FAILED</x:t>
        </x:is>
      </x:c>
    </x:row>
    <x:row r="31">
      <x:c r="A31" s="69" t="inlineStr">
        <x:is>
          <x:t xml:space="preserve">items[].createdAt</x:t>
        </x:is>
      </x:c>
      <x:c r="B31" s="47" t="inlineStr">
        <x:is>
          <x:t xml:space="preserve">string</x:t>
        </x:is>
      </x:c>
      <x:c r="C31" s="47" t="inlineStr">
        <x:is>
          <x:t xml:space="preserve">필수</x:t>
        </x:is>
      </x:c>
      <x:c r="D31" s="70" t="inlineStr">
        <x:is>
          <x:t xml:space="preserve">생성 일시</x:t>
        </x:is>
      </x:c>
    </x:row>
    <x:row r="32">
      <x:c r="A32" s="69" t="inlineStr">
        <x:is>
          <x:t xml:space="preserve">items[].latestReviewVersionId</x:t>
        </x:is>
      </x:c>
      <x:c r="B32" s="47" t="inlineStr">
        <x:is>
          <x:t xml:space="preserve">string</x:t>
        </x:is>
      </x:c>
      <x:c r="C32" s="47" t="inlineStr">
        <x:is>
          <x:t xml:space="preserve">조건부/nullable</x:t>
        </x:is>
      </x:c>
      <x:c r="D32" s="70" t="inlineStr">
        <x:is>
          <x:t xml:space="preserve">최신 첨삭 버전 ID</x:t>
        </x:is>
      </x:c>
    </x:row>
    <x:row r="33">
      <x:c r="A33" s="69" t="inlineStr">
        <x:is>
          <x:t xml:space="preserve">page</x:t>
        </x:is>
      </x:c>
      <x:c r="B33" s="47" t="inlineStr">
        <x:is>
          <x:t xml:space="preserve">integer</x:t>
        </x:is>
      </x:c>
      <x:c r="C33" s="47" t="inlineStr">
        <x:is>
          <x:t xml:space="preserve">필수</x:t>
        </x:is>
      </x:c>
      <x:c r="D33" s="70" t="inlineStr">
        <x:is>
          <x:t xml:space="preserve">현재 페이지 번호</x:t>
        </x:is>
      </x:c>
    </x:row>
    <x:row r="34">
      <x:c r="A34" s="69" t="inlineStr">
        <x:is>
          <x:t xml:space="preserve">size</x:t>
        </x:is>
      </x:c>
      <x:c r="B34" s="47" t="inlineStr">
        <x:is>
          <x:t xml:space="preserve">integer</x:t>
        </x:is>
      </x:c>
      <x:c r="C34" s="47" t="inlineStr">
        <x:is>
          <x:t xml:space="preserve">필수</x:t>
        </x:is>
      </x:c>
      <x:c r="D34" s="70" t="inlineStr">
        <x:is>
          <x:t xml:space="preserve">페이지 크기</x:t>
        </x:is>
      </x:c>
    </x:row>
    <x:row r="35">
      <x:c r="A35" s="69" t="inlineStr">
        <x:is>
          <x:t xml:space="preserve">totalItems</x:t>
        </x:is>
      </x:c>
      <x:c r="B35" s="47" t="inlineStr">
        <x:is>
          <x:t xml:space="preserve">integer</x:t>
        </x:is>
      </x:c>
      <x:c r="C35" s="47" t="inlineStr">
        <x:is>
          <x:t xml:space="preserve">필수</x:t>
        </x:is>
      </x:c>
      <x:c r="D35" s="70" t="inlineStr">
        <x:is>
          <x:t xml:space="preserve">전체 항목 수</x:t>
        </x:is>
      </x:c>
    </x:row>
    <x:row r="36">
      <x:c r="A36" s="71" t="inlineStr">
        <x:is>
          <x:t xml:space="preserve">totalPages</x:t>
        </x:is>
      </x:c>
      <x:c r="B36" s="48" t="inlineStr">
        <x:is>
          <x:t xml:space="preserve">integer</x:t>
        </x:is>
      </x:c>
      <x:c r="C36" s="48" t="inlineStr">
        <x:is>
          <x:t xml:space="preserve">필수</x:t>
        </x:is>
      </x:c>
      <x:c r="D36" s="72" t="inlineStr">
        <x:is>
          <x:t xml:space="preserve">전체 페이지 수</x:t>
        </x:is>
      </x:c>
    </x:row>
    <x:row r="38" ht="24" customHeight="1">
      <x:c r="A38" s="113" t="inlineStr">
        <x:is>
          <x:t xml:space="preserve">오류 응답</x:t>
        </x:is>
      </x:c>
      <x:c r="B38" s="106" t="n"/>
      <x:c r="C38" s="106" t="n"/>
      <x:c r="D38" s="106" t="n"/>
      <x:c r="E38" s="106" t="n"/>
      <x:c r="F38" s="106" t="n"/>
      <x:c r="G38" s="106" t="n"/>
      <x:c r="H38" s="106" t="n"/>
    </x:row>
    <x:row r="39">
      <x:c r="A39" s="9" t="inlineStr">
        <x:is>
          <x:t xml:space="preserve">HTTP 상태</x:t>
        </x:is>
      </x:c>
      <x:c r="B39" s="10" t="inlineStr">
        <x:is>
          <x:t xml:space="preserve">오류 코드</x:t>
        </x:is>
      </x:c>
      <x:c r="C39" s="10" t="inlineStr">
        <x:is>
          <x:t xml:space="preserve">발생 조건</x:t>
        </x:is>
      </x:c>
      <x:c r="D39" s="10" t="inlineStr">
        <x:is>
          <x:t xml:space="preserve">프론트 처리</x:t>
        </x:is>
      </x:c>
      <x:c r="E39" s="11" t="inlineStr">
        <x:is>
          <x:t xml:space="preserve">현재 상태</x:t>
        </x:is>
      </x:c>
    </x:row>
    <x:row r="40">
      <x:c r="A40" s="67" t="inlineStr">
        <x:is>
          <x:t xml:space="preserve">401 Unauthorized</x:t>
        </x:is>
      </x:c>
      <x:c r="B40" s="46" t="inlineStr">
        <x:is>
          <x:t xml:space="preserve">UNAUTHORIZED</x:t>
        </x:is>
      </x:c>
      <x:c r="C40" s="46" t="inlineStr">
        <x:is>
          <x:t xml:space="preserve">인증 쿠키가 없거나 유효하지 않음</x:t>
        </x:is>
      </x:c>
      <x:c r="D40" s="46" t="inlineStr">
        <x:is>
          <x:t xml:space="preserve">로그인 화면으로 이동</x:t>
        </x:is>
      </x:c>
      <x:c r="E40" s="68" t="inlineStr">
        <x:is>
          <x:t xml:space="preserve">계약 정의·인증 미구현</x:t>
        </x:is>
      </x:c>
    </x:row>
    <x:row r="41">
      <x:c r="A41" s="69" t="inlineStr">
        <x:is>
          <x:t xml:space="preserve">400 Bad Request</x:t>
        </x:is>
      </x:c>
      <x:c r="B41" s="47" t="inlineStr">
        <x:is>
          <x:t xml:space="preserve">VALIDATION_ERROR</x:t>
        </x:is>
      </x:c>
      <x:c r="C41" s="47" t="inlineStr">
        <x:is>
          <x:t xml:space="preserve">요청 값이 제약 조건을 위반함</x:t>
        </x:is>
      </x:c>
      <x:c r="D41" s="47" t="inlineStr">
        <x:is>
          <x:t xml:space="preserve">error.details의 field/reason을 입력 항목에 표시</x:t>
        </x:is>
      </x:c>
      <x:c r="E41" s="70" t="inlineStr">
        <x:is>
          <x:t xml:space="preserve">현재 구현</x:t>
        </x:is>
      </x:c>
    </x:row>
    <x:row r="42">
      <x:c r="A42" s="71" t="inlineStr">
        <x:is>
          <x:t xml:space="preserve">500 Internal Server Error</x:t>
        </x:is>
      </x:c>
      <x:c r="B42" s="48" t="inlineStr">
        <x:is>
          <x:t xml:space="preserve">INTERNAL_ERROR</x:t>
        </x:is>
      </x:c>
      <x:c r="C42" s="48" t="inlineStr">
        <x:is>
          <x:t xml:space="preserve">예상하지 못한 서버 오류</x:t>
        </x:is>
      </x:c>
      <x:c r="D42" s="48" t="inlineStr">
        <x:is>
          <x:t xml:space="preserve">재시도 안내 후 지속 시 오류 정보 전달</x:t>
        </x:is>
      </x:c>
      <x:c r="E42" s="72" t="inlineStr">
        <x:is>
          <x:t xml:space="preserve">현재 구현</x:t>
        </x:is>
      </x:c>
    </x:row>
  </x:sheetData>
  <x:mergeCells>
    <x:mergeCell ref="A4:H4"/>
    <x:mergeCell ref="A38:H38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dc826239002a4b08"/>
    <x:tablePart xmlns:r="http://schemas.openxmlformats.org/officeDocument/2006/relationships" r:id="Reee6ca72b34b4d86"/>
    <x:tablePart xmlns:r="http://schemas.openxmlformats.org/officeDocument/2006/relationships" r:id="Rd8bf1a6c45dc4572"/>
  </x:tableParts>
</x:worksheet>
</file>

<file path=xl/worksheets/sheet9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API-008  ·  자기소개서 초안 생성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/cover-letters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/cover-letters</x:t>
        </x:is>
      </x:c>
      <x:c r="E5" s="82" t="inlineStr">
        <x:is>
          <x:t xml:space="preserve">성공 상태</x:t>
        </x:is>
      </x:c>
      <x:c r="F5" s="46" t="inlineStr">
        <x:is>
          <x:t xml:space="preserve">201 Created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자기소개서 초안 생성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POST /cover-letters HTTP/1.1
Accept: application/json
Cookie: access_token=&lt;access_token&gt;
X-CSRF-Token: &lt;csrf-token&gt;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26" customHeight="1">
      <x:c r="A14" s="115" t="inlineStr">
        <x:is>
          <x:t xml:space="preserve">HTTP/1.1 201 Created
Content-Type: application/json
{
  "id": "cl_01HZ...",
  "status": "DRAFT",
  "createdAt": "2026-06-20T14:00:00"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cookie</x:t>
        </x:is>
      </x:c>
      <x:c r="B18" s="46" t="inlineStr">
        <x:is>
          <x:t xml:space="preserve">access_token</x:t>
        </x:is>
      </x:c>
      <x:c r="C18" s="46" t="inlineStr">
        <x:is>
          <x:t xml:space="preserve">string</x:t>
        </x:is>
      </x:c>
      <x:c r="D18" s="46" t="inlineStr">
        <x:is>
          <x:t xml:space="preserve">계약상 필수 (현재 미검증)</x:t>
        </x:is>
      </x:c>
      <x:c r="E18" s="68" t="inlineStr">
        <x:is>
          <x:t xml:space="preserve">현재 사용자 인증 cookie</x:t>
        </x:is>
      </x:c>
    </x:row>
    <x:row r="19">
      <x:c r="A19" s="71" t="inlineStr">
        <x:is>
          <x:t xml:space="preserve">header</x:t>
        </x:is>
      </x:c>
      <x:c r="B19" s="48" t="inlineStr">
        <x:is>
          <x:t xml:space="preserve">X-CSRF-Token</x:t>
        </x:is>
      </x:c>
      <x:c r="C19" s="48" t="inlineStr">
        <x:is>
          <x:t xml:space="preserve">string</x:t>
        </x:is>
      </x:c>
      <x:c r="D19" s="48" t="inlineStr">
        <x:is>
          <x:t xml:space="preserve">계약상 필수 (현재 미검증)</x:t>
        </x:is>
      </x:c>
      <x:c r="E19" s="72" t="inlineStr">
        <x:is>
          <x:t xml:space="preserve">상태 변경 요청용 CSRF 토큰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67" t="inlineStr">
        <x:is>
          <x:t xml:space="preserve">id</x:t>
        </x:is>
      </x:c>
      <x:c r="B23" s="46" t="inlineStr">
        <x:is>
          <x:t xml:space="preserve">string</x:t>
        </x:is>
      </x:c>
      <x:c r="C23" s="46" t="inlineStr">
        <x:is>
          <x:t xml:space="preserve">필수</x:t>
        </x:is>
      </x:c>
      <x:c r="D23" s="68" t="inlineStr">
        <x:is>
          <x:t xml:space="preserve">리소스 고유 ID</x:t>
        </x:is>
      </x:c>
    </x:row>
    <x:row r="24">
      <x:c r="A24" s="69" t="inlineStr">
        <x:is>
          <x:t xml:space="preserve">status</x:t>
        </x:is>
      </x:c>
      <x:c r="B24" s="47" t="inlineStr">
        <x:is>
          <x:t xml:space="preserve">string</x:t>
        </x:is>
      </x:c>
      <x:c r="C24" s="47" t="inlineStr">
        <x:is>
          <x:t xml:space="preserve">필수</x:t>
        </x:is>
      </x:c>
      <x:c r="D24" s="70" t="inlineStr">
        <x:is>
          <x:t xml:space="preserve">현재 처리/리소스 상태; 고정값: DRAFT</x:t>
        </x:is>
      </x:c>
    </x:row>
    <x:row r="25">
      <x:c r="A25" s="71" t="inlineStr">
        <x:is>
          <x:t xml:space="preserve">createdAt</x:t>
        </x:is>
      </x:c>
      <x:c r="B25" s="48" t="inlineStr">
        <x:is>
          <x:t xml:space="preserve">string</x:t>
        </x:is>
      </x:c>
      <x:c r="C25" s="48" t="inlineStr">
        <x:is>
          <x:t xml:space="preserve">필수</x:t>
        </x:is>
      </x:c>
      <x:c r="D25" s="72" t="inlineStr">
        <x:is>
          <x:t xml:space="preserve">생성 일시</x:t>
        </x:is>
      </x:c>
    </x:row>
    <x:row r="27" ht="24" customHeight="1">
      <x:c r="A27" s="113" t="inlineStr">
        <x:is>
          <x:t xml:space="preserve">오류 응답</x:t>
        </x:is>
      </x:c>
      <x:c r="B27" s="106" t="n"/>
      <x:c r="C27" s="106" t="n"/>
      <x:c r="D27" s="106" t="n"/>
      <x:c r="E27" s="106" t="n"/>
      <x:c r="F27" s="106" t="n"/>
      <x:c r="G27" s="106" t="n"/>
      <x:c r="H27" s="106" t="n"/>
    </x:row>
    <x:row r="28">
      <x:c r="A28" s="9" t="inlineStr">
        <x:is>
          <x:t xml:space="preserve">HTTP 상태</x:t>
        </x:is>
      </x:c>
      <x:c r="B28" s="10" t="inlineStr">
        <x:is>
          <x:t xml:space="preserve">오류 코드</x:t>
        </x:is>
      </x:c>
      <x:c r="C28" s="10" t="inlineStr">
        <x:is>
          <x:t xml:space="preserve">발생 조건</x:t>
        </x:is>
      </x:c>
      <x:c r="D28" s="10" t="inlineStr">
        <x:is>
          <x:t xml:space="preserve">프론트 처리</x:t>
        </x:is>
      </x:c>
      <x:c r="E28" s="11" t="inlineStr">
        <x:is>
          <x:t xml:space="preserve">현재 상태</x:t>
        </x:is>
      </x:c>
    </x:row>
    <x:row r="29">
      <x:c r="A29" s="67" t="inlineStr">
        <x:is>
          <x:t xml:space="preserve">401 Unauthorized</x:t>
        </x:is>
      </x:c>
      <x:c r="B29" s="46" t="inlineStr">
        <x:is>
          <x:t xml:space="preserve">UNAUTHORIZED</x:t>
        </x:is>
      </x:c>
      <x:c r="C29" s="46" t="inlineStr">
        <x:is>
          <x:t xml:space="preserve">인증이 필요합니다.</x:t>
        </x:is>
      </x:c>
      <x:c r="D29" s="46" t="inlineStr">
        <x:is>
          <x:t xml:space="preserve">로그인 화면으로 이동</x:t>
        </x:is>
      </x:c>
      <x:c r="E29" s="68" t="inlineStr">
        <x:is>
          <x:t xml:space="preserve">계약 정의·인증 미구현</x:t>
        </x:is>
      </x:c>
    </x:row>
    <x:row r="30">
      <x:c r="A30" s="69" t="inlineStr">
        <x:is>
          <x:t xml:space="preserve">403 Forbidden</x:t>
        </x:is>
      </x:c>
      <x:c r="B30" s="47" t="inlineStr">
        <x:is>
          <x:t xml:space="preserve">CSRF_INVALID</x:t>
        </x:is>
      </x:c>
      <x:c r="C30" s="47" t="inlineStr">
        <x:is>
          <x:t xml:space="preserve">CSRF 토큰이 없거나 일치하지 않음</x:t>
        </x:is>
      </x:c>
      <x:c r="D30" s="47" t="inlineStr">
        <x:is>
          <x:t xml:space="preserve">토큰 갱신 후 1회 재시도</x:t>
        </x:is>
      </x:c>
      <x:c r="E30" s="70" t="inlineStr">
        <x:is>
          <x:t xml:space="preserve">계약 정의·CSRF 미구현</x:t>
        </x:is>
      </x:c>
    </x:row>
    <x:row r="31">
      <x:c r="A31" s="71" t="inlineStr">
        <x:is>
          <x:t xml:space="preserve">500 Internal Server Error</x:t>
        </x:is>
      </x:c>
      <x:c r="B31" s="48" t="inlineStr">
        <x:is>
          <x:t xml:space="preserve">INTERNAL_ERROR</x:t>
        </x:is>
      </x:c>
      <x:c r="C31" s="48" t="inlineStr">
        <x:is>
          <x:t xml:space="preserve">예상하지 못한 서버 오류</x:t>
        </x:is>
      </x:c>
      <x:c r="D31" s="48" t="inlineStr">
        <x:is>
          <x:t xml:space="preserve">재시도 안내 후 지속 시 오류 정보 전달</x:t>
        </x:is>
      </x:c>
      <x:c r="E31" s="72" t="inlineStr">
        <x:is>
          <x:t xml:space="preserve">현재 구현</x:t>
        </x:is>
      </x:c>
    </x:row>
  </x:sheetData>
  <x:mergeCells>
    <x:mergeCell ref="A4:H4"/>
    <x:mergeCell ref="A21:H21"/>
    <x:mergeCell ref="A16:H16"/>
    <x:mergeCell ref="A10:H10"/>
    <x:mergeCell ref="B2:H2"/>
    <x:mergeCell ref="A11:H11"/>
    <x:mergeCell ref="A13:H13"/>
    <x:mergeCell ref="A14:H14"/>
    <x:mergeCell ref="A1:H1"/>
    <x:mergeCell ref="A27:H27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52edf04a731445b5"/>
    <x:tablePart xmlns:r="http://schemas.openxmlformats.org/officeDocument/2006/relationships" r:id="R44d837701410448f"/>
    <x:tablePart xmlns:r="http://schemas.openxmlformats.org/officeDocument/2006/relationships" r:id="R312cb06aa61644bb"/>
  </x:tableParts>
</x:worksheet>
</file>

<file path=xl/worksheets/sheet10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API-009  ·  등록 step1 저장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PUT /cover-letters/{coverLetterId}/basic-info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PUT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/cover-letters/{coverLetterId}/basic-info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등록 step1 저장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82" customHeight="1">
      <x:c r="A11" s="115" t="inlineStr">
        <x:is>
          <x:t xml:space="preserve">PUT /cover-letters/cl_01HZ.../basic-info HTTP/1.1
Accept: application/json
Cookie: access_token=&lt;access_token&gt;
X-CSRF-Token: &lt;csrf-token&gt;
Content-Type: application/json
{
  "title": "2026 상반기 백엔드 개발자 자기소개서",
  "companyName": "Rewrite Corp",
  "positionTitle": "백엔드 개발자",
  "jobPostingUrl": "https://example.com/jobs/1"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82" customHeight="1">
      <x:c r="A14" s="115" t="inlineStr">
        <x:is>
          <x:t xml:space="preserve">HTTP/1.1 200 OK
Content-Type: application/json
{
  "id": "cl_01HZ...",
  "title": "2026 상반기 백엔드 개발자 자기소개서",
  "companyName": "Rewrite Corp",
  "positionTitle": "백엔드 개발자",
  "jobPostingUrl": "https://example.com/jobs/1",
  "status": "DRAFT",
  "updatedAt": "2026-06-20T14:05:00"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69" t="inlineStr">
        <x:is>
          <x:t xml:space="preserve">body</x:t>
        </x:is>
      </x:c>
      <x:c r="B21" s="47" t="inlineStr">
        <x:is>
          <x:t xml:space="preserve">title</x:t>
        </x:is>
      </x:c>
      <x:c r="C21" s="47" t="inlineStr">
        <x:is>
          <x:t xml:space="preserve">string</x:t>
        </x:is>
      </x:c>
      <x:c r="D21" s="47" t="inlineStr">
        <x:is>
          <x:t xml:space="preserve">필수</x:t>
        </x:is>
      </x:c>
      <x:c r="E21" s="70" t="inlineStr">
        <x:is>
          <x:t xml:space="preserve">자기소개서 제목; trim 후 1~50자</x:t>
        </x:is>
      </x:c>
    </x:row>
    <x:row r="22">
      <x:c r="A22" s="69" t="inlineStr">
        <x:is>
          <x:t xml:space="preserve">body</x:t>
        </x:is>
      </x:c>
      <x:c r="B22" s="47" t="inlineStr">
        <x:is>
          <x:t xml:space="preserve">companyName</x:t>
        </x:is>
      </x:c>
      <x:c r="C22" s="47" t="inlineStr">
        <x:is>
          <x:t xml:space="preserve">string</x:t>
        </x:is>
      </x:c>
      <x:c r="D22" s="47" t="inlineStr">
        <x:is>
          <x:t xml:space="preserve">필수</x:t>
        </x:is>
      </x:c>
      <x:c r="E22" s="70" t="inlineStr">
        <x:is>
          <x:t xml:space="preserve">지원 회사명; trim 후 1~30자</x:t>
        </x:is>
      </x:c>
    </x:row>
    <x:row r="23">
      <x:c r="A23" s="69" t="inlineStr">
        <x:is>
          <x:t xml:space="preserve">body</x:t>
        </x:is>
      </x:c>
      <x:c r="B23" s="47" t="inlineStr">
        <x:is>
          <x:t xml:space="preserve">positionTitle</x:t>
        </x:is>
      </x:c>
      <x:c r="C23" s="47" t="inlineStr">
        <x:is>
          <x:t xml:space="preserve">string</x:t>
        </x:is>
      </x:c>
      <x:c r="D23" s="47" t="inlineStr">
        <x:is>
          <x:t xml:space="preserve">필수</x:t>
        </x:is>
      </x:c>
      <x:c r="E23" s="70" t="inlineStr">
        <x:is>
          <x:t xml:space="preserve">지원 직무명; trim 후 1~30자</x:t>
        </x:is>
      </x:c>
    </x:row>
    <x:row r="24">
      <x:c r="A24" s="71" t="inlineStr">
        <x:is>
          <x:t xml:space="preserve">body</x:t>
        </x:is>
      </x:c>
      <x:c r="B24" s="48" t="inlineStr">
        <x:is>
          <x:t xml:space="preserve">jobPostingUrl</x:t>
        </x:is>
      </x:c>
      <x:c r="C24" s="48" t="inlineStr">
        <x:is>
          <x:t xml:space="preserve">string(url)</x:t>
        </x:is>
      </x:c>
      <x:c r="D24" s="48" t="inlineStr">
        <x:is>
          <x:t xml:space="preserve">선택</x:t>
        </x:is>
      </x:c>
      <x:c r="E24" s="72" t="inlineStr">
        <x:is>
          <x:t xml:space="preserve">채용 공고 URL; 최대 500자</x:t>
        </x:is>
      </x:c>
    </x:row>
    <x:row r="26" ht="24" customHeight="1">
      <x:c r="A26" s="113" t="inlineStr">
        <x:is>
          <x:t xml:space="preserve">응답 필드 설명</x:t>
        </x:is>
      </x:c>
      <x:c r="B26" s="106" t="n"/>
      <x:c r="C26" s="106" t="n"/>
      <x:c r="D26" s="106" t="n"/>
      <x:c r="E26" s="106" t="n"/>
      <x:c r="F26" s="106" t="n"/>
      <x:c r="G26" s="106" t="n"/>
      <x:c r="H26" s="106" t="n"/>
    </x:row>
    <x:row r="27">
      <x:c r="A27" s="9" t="inlineStr">
        <x:is>
          <x:t xml:space="preserve">필드 경로</x:t>
        </x:is>
      </x:c>
      <x:c r="B27" s="10" t="inlineStr">
        <x:is>
          <x:t xml:space="preserve">타입</x:t>
        </x:is>
      </x:c>
      <x:c r="C27" s="10" t="inlineStr">
        <x:is>
          <x:t xml:space="preserve">필수/nullable</x:t>
        </x:is>
      </x:c>
      <x:c r="D27" s="11" t="inlineStr">
        <x:is>
          <x:t xml:space="preserve">필드 의미</x:t>
        </x:is>
      </x:c>
    </x:row>
    <x:row r="28">
      <x:c r="A28" s="67" t="inlineStr">
        <x:is>
          <x:t xml:space="preserve">id</x:t>
        </x:is>
      </x:c>
      <x:c r="B28" s="46" t="inlineStr">
        <x:is>
          <x:t xml:space="preserve">string</x:t>
        </x:is>
      </x:c>
      <x:c r="C28" s="46" t="inlineStr">
        <x:is>
          <x:t xml:space="preserve">필수</x:t>
        </x:is>
      </x:c>
      <x:c r="D28" s="68" t="inlineStr">
        <x:is>
          <x:t xml:space="preserve">리소스 고유 ID</x:t>
        </x:is>
      </x:c>
    </x:row>
    <x:row r="29">
      <x:c r="A29" s="69" t="inlineStr">
        <x:is>
          <x:t xml:space="preserve">title</x:t>
        </x:is>
      </x:c>
      <x:c r="B29" s="47" t="inlineStr">
        <x:is>
          <x:t xml:space="preserve">string</x:t>
        </x:is>
      </x:c>
      <x:c r="C29" s="47" t="inlineStr">
        <x:is>
          <x:t xml:space="preserve">필수</x:t>
        </x:is>
      </x:c>
      <x:c r="D29" s="70" t="inlineStr">
        <x:is>
          <x:t xml:space="preserve">자기소개서 제목</x:t>
        </x:is>
      </x:c>
    </x:row>
    <x:row r="30">
      <x:c r="A30" s="69" t="inlineStr">
        <x:is>
          <x:t xml:space="preserve">companyName</x:t>
        </x:is>
      </x:c>
      <x:c r="B30" s="47" t="inlineStr">
        <x:is>
          <x:t xml:space="preserve">string</x:t>
        </x:is>
      </x:c>
      <x:c r="C30" s="47" t="inlineStr">
        <x:is>
          <x:t xml:space="preserve">필수</x:t>
        </x:is>
      </x:c>
      <x:c r="D30" s="70" t="inlineStr">
        <x:is>
          <x:t xml:space="preserve">지원 회사명</x:t>
        </x:is>
      </x:c>
    </x:row>
    <x:row r="31">
      <x:c r="A31" s="69" t="inlineStr">
        <x:is>
          <x:t xml:space="preserve">positionTitle</x:t>
        </x:is>
      </x:c>
      <x:c r="B31" s="47" t="inlineStr">
        <x:is>
          <x:t xml:space="preserve">string</x:t>
        </x:is>
      </x:c>
      <x:c r="C31" s="47" t="inlineStr">
        <x:is>
          <x:t xml:space="preserve">필수</x:t>
        </x:is>
      </x:c>
      <x:c r="D31" s="70" t="inlineStr">
        <x:is>
          <x:t xml:space="preserve">지원 직무명</x:t>
        </x:is>
      </x:c>
    </x:row>
    <x:row r="32">
      <x:c r="A32" s="69" t="inlineStr">
        <x:is>
          <x:t xml:space="preserve">jobPostingUrl</x:t>
        </x:is>
      </x:c>
      <x:c r="B32" s="47" t="inlineStr">
        <x:is>
          <x:t xml:space="preserve">string</x:t>
        </x:is>
      </x:c>
      <x:c r="C32" s="47" t="inlineStr">
        <x:is>
          <x:t xml:space="preserve">조건부/nullable</x:t>
        </x:is>
      </x:c>
      <x:c r="D32" s="70" t="inlineStr">
        <x:is>
          <x:t xml:space="preserve">채용 공고 URL</x:t>
        </x:is>
      </x:c>
    </x:row>
    <x:row r="33">
      <x:c r="A33" s="69" t="inlineStr">
        <x:is>
          <x:t xml:space="preserve">status</x:t>
        </x:is>
      </x:c>
      <x:c r="B33" s="47" t="inlineStr">
        <x:is>
          <x:t xml:space="preserve">string</x:t>
        </x:is>
      </x:c>
      <x:c r="C33" s="47" t="inlineStr">
        <x:is>
          <x:t xml:space="preserve">필수</x:t>
        </x:is>
      </x:c>
      <x:c r="D33" s="70" t="inlineStr">
        <x:is>
          <x:t xml:space="preserve">현재 처리/리소스 상태; 고정값: DRAFT</x:t>
        </x:is>
      </x:c>
    </x:row>
    <x:row r="34">
      <x:c r="A34" s="71" t="inlineStr">
        <x:is>
          <x:t xml:space="preserve">updatedAt</x:t>
        </x:is>
      </x:c>
      <x:c r="B34" s="48" t="inlineStr">
        <x:is>
          <x:t xml:space="preserve">string</x:t>
        </x:is>
      </x:c>
      <x:c r="C34" s="48" t="inlineStr">
        <x:is>
          <x:t xml:space="preserve">필수</x:t>
        </x:is>
      </x:c>
      <x:c r="D34" s="72" t="inlineStr">
        <x:is>
          <x:t xml:space="preserve">최근 수정 일시</x:t>
        </x:is>
      </x:c>
    </x:row>
    <x:row r="36" ht="24" customHeight="1">
      <x:c r="A36" s="113" t="inlineStr">
        <x:is>
          <x:t xml:space="preserve">오류 응답</x:t>
        </x:is>
      </x:c>
      <x:c r="B36" s="106" t="n"/>
      <x:c r="C36" s="106" t="n"/>
      <x:c r="D36" s="106" t="n"/>
      <x:c r="E36" s="106" t="n"/>
      <x:c r="F36" s="106" t="n"/>
      <x:c r="G36" s="106" t="n"/>
      <x:c r="H36" s="106" t="n"/>
    </x:row>
    <x:row r="37">
      <x:c r="A37" s="9" t="inlineStr">
        <x:is>
          <x:t xml:space="preserve">HTTP 상태</x:t>
        </x:is>
      </x:c>
      <x:c r="B37" s="10" t="inlineStr">
        <x:is>
          <x:t xml:space="preserve">오류 코드</x:t>
        </x:is>
      </x:c>
      <x:c r="C37" s="10" t="inlineStr">
        <x:is>
          <x:t xml:space="preserve">발생 조건</x:t>
        </x:is>
      </x:c>
      <x:c r="D37" s="10" t="inlineStr">
        <x:is>
          <x:t xml:space="preserve">프론트 처리</x:t>
        </x:is>
      </x:c>
      <x:c r="E37" s="11" t="inlineStr">
        <x:is>
          <x:t xml:space="preserve">현재 상태</x:t>
        </x:is>
      </x:c>
    </x:row>
    <x:row r="38">
      <x:c r="A38" s="67" t="inlineStr">
        <x:is>
          <x:t xml:space="preserve">409 Conflict</x:t>
        </x:is>
      </x:c>
      <x:c r="B38" s="46" t="inlineStr">
        <x:is>
          <x:t xml:space="preserve">COVER_LETTER_NOT_DRAFT</x:t>
        </x:is>
      </x:c>
      <x:c r="C38" s="46" t="inlineStr">
        <x:is>
          <x:t xml:space="preserve">제출된 자기소개서의 원본 정보는 수정할 수 없습니다.</x:t>
        </x:is>
      </x:c>
      <x:c r="D38" s="46" t="inlineStr">
        <x:is>
          <x:t xml:space="preserve">수정 UI를 잠그고 최신 상태 재조회</x:t>
        </x:is>
      </x:c>
      <x:c r="E38" s="68" t="inlineStr">
        <x:is>
          <x:t xml:space="preserve">현재 구현</x:t>
        </x:is>
      </x:c>
    </x:row>
    <x:row r="39">
      <x:c r="A39" s="69" t="inlineStr">
        <x:is>
          <x:t xml:space="preserve">400 Bad Request</x:t>
        </x:is>
      </x:c>
      <x:c r="B39" s="47" t="inlineStr">
        <x:is>
          <x:t xml:space="preserve">VALIDATION_ERROR</x:t>
        </x:is>
      </x:c>
      <x:c r="C39" s="47" t="inlineStr">
        <x:is>
          <x:t xml:space="preserve">요청 값이 제약 조건을 위반함</x:t>
        </x:is>
      </x:c>
      <x:c r="D39" s="47" t="inlineStr">
        <x:is>
          <x:t xml:space="preserve">error.details의 field/reason을 입력 항목에 표시</x:t>
        </x:is>
      </x:c>
      <x:c r="E39" s="70" t="inlineStr">
        <x:is>
          <x:t xml:space="preserve">현재 구현</x:t>
        </x:is>
      </x:c>
    </x:row>
    <x:row r="40">
      <x:c r="A40" s="69" t="inlineStr">
        <x:is>
          <x:t xml:space="preserve">401 Unauthorized</x:t>
        </x:is>
      </x:c>
      <x:c r="B40" s="47" t="inlineStr">
        <x:is>
          <x:t xml:space="preserve">UNAUTHORIZED</x:t>
        </x:is>
      </x:c>
      <x:c r="C40" s="47" t="inlineStr">
        <x:is>
          <x:t xml:space="preserve">인증 쿠키가 없거나 유효하지 않음</x:t>
        </x:is>
      </x:c>
      <x:c r="D40" s="47" t="inlineStr">
        <x:is>
          <x:t xml:space="preserve">로그인 화면으로 이동</x:t>
        </x:is>
      </x:c>
      <x:c r="E40" s="70" t="inlineStr">
        <x:is>
          <x:t xml:space="preserve">계약 정의·인증 미구현</x:t>
        </x:is>
      </x:c>
    </x:row>
    <x:row r="41">
      <x:c r="A41" s="69" t="inlineStr">
        <x:is>
          <x:t xml:space="preserve">403 Forbidden</x:t>
        </x:is>
      </x:c>
      <x:c r="B41" s="47" t="inlineStr">
        <x:is>
          <x:t xml:space="preserve">CSRF_INVALID</x:t>
        </x:is>
      </x:c>
      <x:c r="C41" s="47" t="inlineStr">
        <x:is>
          <x:t xml:space="preserve">CSRF 토큰이 없거나 일치하지 않음</x:t>
        </x:is>
      </x:c>
      <x:c r="D41" s="47" t="inlineStr">
        <x:is>
          <x:t xml:space="preserve">토큰 갱신 후 1회 재시도</x:t>
        </x:is>
      </x:c>
      <x:c r="E41" s="70" t="inlineStr">
        <x:is>
          <x:t xml:space="preserve">계약 정의·CSRF 미구현</x:t>
        </x:is>
      </x:c>
    </x:row>
    <x:row r="42">
      <x:c r="A42" s="69" t="inlineStr">
        <x:is>
          <x:t xml:space="preserve">404 Not Found</x:t>
        </x:is>
      </x:c>
      <x:c r="B42" s="47" t="inlineStr">
        <x:is>
          <x:t xml:space="preserve">NOT_FOUND</x:t>
        </x:is>
      </x:c>
      <x:c r="C42" s="47" t="inlineStr">
        <x:is>
          <x:t xml:space="preserve">대상이 없거나 접근 권한이 없음</x:t>
        </x:is>
      </x:c>
      <x:c r="D42" s="47" t="inlineStr">
        <x:is>
          <x:t xml:space="preserve">목록으로 이동하거나 삭제 상태 반영</x:t>
        </x:is>
      </x:c>
      <x:c r="E42" s="70" t="inlineStr">
        <x:is>
          <x:t xml:space="preserve">현재 구현</x:t>
        </x:is>
      </x:c>
    </x:row>
    <x:row r="43">
      <x:c r="A43" s="71" t="inlineStr">
        <x:is>
          <x:t xml:space="preserve">500 Internal Server Error</x:t>
        </x:is>
      </x:c>
      <x:c r="B43" s="48" t="inlineStr">
        <x:is>
          <x:t xml:space="preserve">INTERNAL_ERROR</x:t>
        </x:is>
      </x:c>
      <x:c r="C43" s="48" t="inlineStr">
        <x:is>
          <x:t xml:space="preserve">예상하지 못한 서버 오류</x:t>
        </x:is>
      </x:c>
      <x:c r="D43" s="48" t="inlineStr">
        <x:is>
          <x:t xml:space="preserve">재시도 안내 후 지속 시 오류 정보 전달</x:t>
        </x:is>
      </x:c>
      <x:c r="E43" s="72" t="inlineStr">
        <x:is>
          <x:t xml:space="preserve">현재 구현</x:t>
        </x:is>
      </x:c>
    </x:row>
  </x:sheetData>
  <x:mergeCells>
    <x:mergeCell ref="A4:H4"/>
    <x:mergeCell ref="A26:H26"/>
    <x:mergeCell ref="A16:H16"/>
    <x:mergeCell ref="A10:H10"/>
    <x:mergeCell ref="B2:H2"/>
    <x:mergeCell ref="A11:H11"/>
    <x:mergeCell ref="A13:H13"/>
    <x:mergeCell ref="A14:H14"/>
    <x:mergeCell ref="A1:H1"/>
    <x:mergeCell ref="A36:H36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c74b13b2be4c44ad"/>
    <x:tablePart xmlns:r="http://schemas.openxmlformats.org/officeDocument/2006/relationships" r:id="Rfb83874707914238"/>
    <x:tablePart xmlns:r="http://schemas.openxmlformats.org/officeDocument/2006/relationships" r:id="Rc1284e038dd445c7"/>
  </x:tableParts>
</x:worksheet>
</file>

<file path=xl/worksheets/sheet11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API-010  ·  등록 step2 저장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PUT /cover-letters/{coverLetterId}/preferences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PUT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/cover-letters/{coverLetterId}/preferences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등록 step2 저장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40" customHeight="1">
      <x:c r="A11" s="115" t="inlineStr">
        <x:is>
          <x:t xml:space="preserve">PUT /cover-letters/cl_01HZ.../preferences HTTP/1.1
Accept: application/json
Cookie: access_token=&lt;access_token&gt;
X-CSRF-Token: &lt;csrf-token&gt;
Content-Type: application/json
{
  "preferences": "Spring Boot 경험, 대용량 트래픽 처리 경험 우대"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40" customHeight="1">
      <x:c r="A14" s="115" t="inlineStr">
        <x:is>
          <x:t xml:space="preserve">HTTP/1.1 200 OK
Content-Type: application/json
{
  "id": "cl_01HZ...",
  "preferences": "Spring Boot 경험, 대용량 트래픽 처리 경험 우대",
  "status": "DRAFT",
  "updatedAt": "2026-06-20T14:08:00"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71" t="inlineStr">
        <x:is>
          <x:t xml:space="preserve">body</x:t>
        </x:is>
      </x:c>
      <x:c r="B21" s="48" t="inlineStr">
        <x:is>
          <x:t xml:space="preserve">preferences</x:t>
        </x:is>
      </x:c>
      <x:c r="C21" s="48" t="inlineStr">
        <x:is>
          <x:t xml:space="preserve">string</x:t>
        </x:is>
      </x:c>
      <x:c r="D21" s="48" t="inlineStr">
        <x:is>
          <x:t xml:space="preserve">필수</x:t>
        </x:is>
      </x:c>
      <x:c r="E21" s="72" t="inlineStr">
        <x:is>
          <x:t xml:space="preserve">채용 우대사항 전체 텍스트; trim 후 1~3000자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리소스 고유 ID</x:t>
        </x:is>
      </x:c>
    </x:row>
    <x:row r="26">
      <x:c r="A26" s="69" t="inlineStr">
        <x:is>
          <x:t xml:space="preserve">preferences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채용 우대사항 텍스트</x:t>
        </x:is>
      </x:c>
    </x:row>
    <x:row r="27">
      <x:c r="A27" s="69" t="inlineStr">
        <x:is>
          <x:t xml:space="preserve">status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현재 처리/리소스 상태; 고정값: DRAFT</x:t>
        </x:is>
      </x:c>
    </x:row>
    <x:row r="28">
      <x:c r="A28" s="71" t="inlineStr">
        <x:is>
          <x:t xml:space="preserve">updatedAt</x:t>
        </x:is>
      </x:c>
      <x:c r="B28" s="48" t="inlineStr">
        <x:is>
          <x:t xml:space="preserve">string</x:t>
        </x:is>
      </x:c>
      <x:c r="C28" s="48" t="inlineStr">
        <x:is>
          <x:t xml:space="preserve">필수</x:t>
        </x:is>
      </x:c>
      <x:c r="D28" s="72" t="inlineStr">
        <x:is>
          <x:t xml:space="preserve">최근 수정 일시</x:t>
        </x:is>
      </x:c>
    </x:row>
    <x:row r="30" ht="24" customHeight="1">
      <x:c r="A30" s="113" t="inlineStr">
        <x:is>
          <x:t xml:space="preserve">오류 응답</x:t>
        </x:is>
      </x:c>
      <x:c r="B30" s="106" t="n"/>
      <x:c r="C30" s="106" t="n"/>
      <x:c r="D30" s="106" t="n"/>
      <x:c r="E30" s="106" t="n"/>
      <x:c r="F30" s="106" t="n"/>
      <x:c r="G30" s="106" t="n"/>
      <x:c r="H30" s="106" t="n"/>
    </x:row>
    <x:row r="31">
      <x:c r="A31" s="9" t="inlineStr">
        <x:is>
          <x:t xml:space="preserve">HTTP 상태</x:t>
        </x:is>
      </x:c>
      <x:c r="B31" s="10" t="inlineStr">
        <x:is>
          <x:t xml:space="preserve">오류 코드</x:t>
        </x:is>
      </x:c>
      <x:c r="C31" s="10" t="inlineStr">
        <x:is>
          <x:t xml:space="preserve">발생 조건</x:t>
        </x:is>
      </x:c>
      <x:c r="D31" s="10" t="inlineStr">
        <x:is>
          <x:t xml:space="preserve">프론트 처리</x:t>
        </x:is>
      </x:c>
      <x:c r="E31" s="11" t="inlineStr">
        <x:is>
          <x:t xml:space="preserve">현재 상태</x:t>
        </x:is>
      </x:c>
    </x:row>
    <x:row r="32">
      <x:c r="A32" s="67" t="inlineStr">
        <x:is>
          <x:t xml:space="preserve">409 Conflict</x:t>
        </x:is>
      </x:c>
      <x:c r="B32" s="46" t="inlineStr">
        <x:is>
          <x:t xml:space="preserve">COVER_LETTER_NOT_DRAFT</x:t>
        </x:is>
      </x:c>
      <x:c r="C32" s="46" t="inlineStr">
        <x:is>
          <x:t xml:space="preserve">제출된 자기소개서의 원본 정보는 수정할 수 없습니다.</x:t>
        </x:is>
      </x:c>
      <x:c r="D32" s="46" t="inlineStr">
        <x:is>
          <x:t xml:space="preserve">수정 UI를 잠그고 최신 상태 재조회</x:t>
        </x:is>
      </x:c>
      <x:c r="E32" s="68" t="inlineStr">
        <x:is>
          <x:t xml:space="preserve">현재 구현</x:t>
        </x:is>
      </x:c>
    </x:row>
    <x:row r="33">
      <x:c r="A33" s="69" t="inlineStr">
        <x:is>
          <x:t xml:space="preserve">400 Bad Request</x:t>
        </x:is>
      </x:c>
      <x:c r="B33" s="47" t="inlineStr">
        <x:is>
          <x:t xml:space="preserve">VALIDATION_ERROR</x:t>
        </x:is>
      </x:c>
      <x:c r="C33" s="47" t="inlineStr">
        <x:is>
          <x:t xml:space="preserve">요청 값이 제약 조건을 위반함</x:t>
        </x:is>
      </x:c>
      <x:c r="D33" s="47" t="inlineStr">
        <x:is>
          <x:t xml:space="preserve">error.details의 field/reason을 입력 항목에 표시</x:t>
        </x:is>
      </x:c>
      <x:c r="E33" s="70" t="inlineStr">
        <x:is>
          <x:t xml:space="preserve">현재 구현</x:t>
        </x:is>
      </x:c>
    </x:row>
    <x:row r="34">
      <x:c r="A34" s="69" t="inlineStr">
        <x:is>
          <x:t xml:space="preserve">401 Unauthorized</x:t>
        </x:is>
      </x:c>
      <x:c r="B34" s="47" t="inlineStr">
        <x:is>
          <x:t xml:space="preserve">UNAUTHORIZED</x:t>
        </x:is>
      </x:c>
      <x:c r="C34" s="47" t="inlineStr">
        <x:is>
          <x:t xml:space="preserve">인증 쿠키가 없거나 유효하지 않음</x:t>
        </x:is>
      </x:c>
      <x:c r="D34" s="47" t="inlineStr">
        <x:is>
          <x:t xml:space="preserve">로그인 화면으로 이동</x:t>
        </x:is>
      </x:c>
      <x:c r="E34" s="70" t="inlineStr">
        <x:is>
          <x:t xml:space="preserve">계약 정의·인증 미구현</x:t>
        </x:is>
      </x:c>
    </x:row>
    <x:row r="35">
      <x:c r="A35" s="69" t="inlineStr">
        <x:is>
          <x:t xml:space="preserve">403 Forbidden</x:t>
        </x:is>
      </x:c>
      <x:c r="B35" s="47" t="inlineStr">
        <x:is>
          <x:t xml:space="preserve">CSRF_INVALID</x:t>
        </x:is>
      </x:c>
      <x:c r="C35" s="47" t="inlineStr">
        <x:is>
          <x:t xml:space="preserve">CSRF 토큰이 없거나 일치하지 않음</x:t>
        </x:is>
      </x:c>
      <x:c r="D35" s="47" t="inlineStr">
        <x:is>
          <x:t xml:space="preserve">토큰 갱신 후 1회 재시도</x:t>
        </x:is>
      </x:c>
      <x:c r="E35" s="70" t="inlineStr">
        <x:is>
          <x:t xml:space="preserve">계약 정의·CSRF 미구현</x:t>
        </x:is>
      </x:c>
    </x:row>
    <x:row r="36">
      <x:c r="A36" s="69" t="inlineStr">
        <x:is>
          <x:t xml:space="preserve">404 Not Found</x:t>
        </x:is>
      </x:c>
      <x:c r="B36" s="47" t="inlineStr">
        <x:is>
          <x:t xml:space="preserve">NOT_FOUND</x:t>
        </x:is>
      </x:c>
      <x:c r="C36" s="47" t="inlineStr">
        <x:is>
          <x:t xml:space="preserve">대상이 없거나 접근 권한이 없음</x:t>
        </x:is>
      </x:c>
      <x:c r="D36" s="47" t="inlineStr">
        <x:is>
          <x:t xml:space="preserve">목록으로 이동하거나 삭제 상태 반영</x:t>
        </x:is>
      </x:c>
      <x:c r="E36" s="70" t="inlineStr">
        <x:is>
          <x:t xml:space="preserve">현재 구현</x:t>
        </x:is>
      </x:c>
    </x:row>
    <x:row r="37">
      <x:c r="A37" s="71" t="inlineStr">
        <x:is>
          <x:t xml:space="preserve">500 Internal Server Error</x:t>
        </x:is>
      </x:c>
      <x:c r="B37" s="48" t="inlineStr">
        <x:is>
          <x:t xml:space="preserve">INTERNAL_ERROR</x:t>
        </x:is>
      </x:c>
      <x:c r="C37" s="48" t="inlineStr">
        <x:is>
          <x:t xml:space="preserve">예상하지 못한 서버 오류</x:t>
        </x:is>
      </x:c>
      <x:c r="D37" s="48" t="inlineStr">
        <x:is>
          <x:t xml:space="preserve">재시도 안내 후 지속 시 오류 정보 전달</x:t>
        </x:is>
      </x:c>
      <x:c r="E37" s="72" t="inlineStr">
        <x:is>
          <x:t xml:space="preserve">현재 구현</x:t>
        </x:is>
      </x:c>
    </x:row>
  </x:sheetData>
  <x:mergeCells>
    <x:mergeCell ref="A4:H4"/>
    <x:mergeCell ref="A30:H30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c4092e1266894aad"/>
    <x:tablePart xmlns:r="http://schemas.openxmlformats.org/officeDocument/2006/relationships" r:id="R9b36de561f014088"/>
    <x:tablePart xmlns:r="http://schemas.openxmlformats.org/officeDocument/2006/relationships" r:id="R7742ce75e37e4028"/>
  </x:tableParts>
</x:worksheet>
</file>

<file path=xl/worksheets/sheet12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API-011  ·  등록 step3 저장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PUT /cover-letters/{coverLetterId}/questions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PUT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/cover-letters/{coverLetterId}/questions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등록 step3 저장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294" customHeight="1">
      <x:c r="A11" s="115" t="inlineStr">
        <x:is>
          <x:t xml:space="preserve">PUT /cover-letters/cl_01HZ.../questions HTTP/1.1
Accept: application/json
Cookie: access_token=&lt;access_token&gt;
X-CSRF-Token: &lt;csrf-token&gt;
Content-Type: application/json
{
  "questions": [
    {
      "question": "지원 동기를 작성해주세요.",
      "maxAnswerLength": 1000,
      "originalAnswer": "제가 지원한 이유는..."
    },
    {
      "question": "직무 관련 경험을 작성해주세요.",
      "maxAnswerLength": 1500,
      "originalAnswer": "저는 프로젝트에서..."
    }
  ]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238" customHeight="1">
      <x:c r="A14" s="115" t="inlineStr">
        <x:is>
          <x:t xml:space="preserve">HTTP/1.1 200 OK
Content-Type: application/json
{
  "coverLetterId": "cl_01HZ...",
  "questions": [
    {
      "id": "clq_01HZ...",
      "order": 1,
      "question": "지원 동기를 작성해주세요.",
      "maxAnswerLength": 1000,
      "originalAnswer": "제가 지원한 이유는..."
    }
  ],
  "updatedAt": "2026-06-20T14:10:00"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69" t="inlineStr">
        <x:is>
          <x:t xml:space="preserve">body</x:t>
        </x:is>
      </x:c>
      <x:c r="B21" s="47" t="inlineStr">
        <x:is>
          <x:t xml:space="preserve">questions</x:t>
        </x:is>
      </x:c>
      <x:c r="C21" s="47" t="inlineStr">
        <x:is>
          <x:t xml:space="preserve">array&lt;object&gt;</x:t>
        </x:is>
      </x:c>
      <x:c r="D21" s="47" t="inlineStr">
        <x:is>
          <x:t xml:space="preserve">필수</x:t>
        </x:is>
      </x:c>
      <x:c r="E21" s="70" t="inlineStr">
        <x:is>
          <x:t xml:space="preserve">저장할 전체 문항 목록; 1개 이상</x:t>
        </x:is>
      </x:c>
    </x:row>
    <x:row r="22">
      <x:c r="A22" s="69" t="inlineStr">
        <x:is>
          <x:t xml:space="preserve">body</x:t>
        </x:is>
      </x:c>
      <x:c r="B22" s="47" t="inlineStr">
        <x:is>
          <x:t xml:space="preserve">questions[].question</x:t>
        </x:is>
      </x:c>
      <x:c r="C22" s="47" t="inlineStr">
        <x:is>
          <x:t xml:space="preserve">string</x:t>
        </x:is>
      </x:c>
      <x:c r="D22" s="47" t="inlineStr">
        <x:is>
          <x:t xml:space="preserve">필수</x:t>
        </x:is>
      </x:c>
      <x:c r="E22" s="70" t="inlineStr">
        <x:is>
          <x:t xml:space="preserve">문항 내용; trim 후 1~300자</x:t>
        </x:is>
      </x:c>
    </x:row>
    <x:row r="23">
      <x:c r="A23" s="69" t="inlineStr">
        <x:is>
          <x:t xml:space="preserve">body</x:t>
        </x:is>
      </x:c>
      <x:c r="B23" s="47" t="inlineStr">
        <x:is>
          <x:t xml:space="preserve">questions[].maxAnswerLength</x:t>
        </x:is>
      </x:c>
      <x:c r="C23" s="47" t="inlineStr">
        <x:is>
          <x:t xml:space="preserve">integer</x:t>
        </x:is>
      </x:c>
      <x:c r="D23" s="47" t="inlineStr">
        <x:is>
          <x:t xml:space="preserve">필수</x:t>
        </x:is>
      </x:c>
      <x:c r="E23" s="70" t="inlineStr">
        <x:is>
          <x:t xml:space="preserve">문항 답변 최대 글자 수; 100~5000</x:t>
        </x:is>
      </x:c>
    </x:row>
    <x:row r="24">
      <x:c r="A24" s="71" t="inlineStr">
        <x:is>
          <x:t xml:space="preserve">body</x:t>
        </x:is>
      </x:c>
      <x:c r="B24" s="48" t="inlineStr">
        <x:is>
          <x:t xml:space="preserve">questions[].originalAnswer</x:t>
        </x:is>
      </x:c>
      <x:c r="C24" s="48" t="inlineStr">
        <x:is>
          <x:t xml:space="preserve">string</x:t>
        </x:is>
      </x:c>
      <x:c r="D24" s="48" t="inlineStr">
        <x:is>
          <x:t xml:space="preserve">필수</x:t>
        </x:is>
      </x:c>
      <x:c r="E24" s="72" t="inlineStr">
        <x:is>
          <x:t xml:space="preserve">원본 답변; trim 후 1~5000자</x:t>
        </x:is>
      </x:c>
    </x:row>
    <x:row r="26" ht="24" customHeight="1">
      <x:c r="A26" s="113" t="inlineStr">
        <x:is>
          <x:t xml:space="preserve">응답 필드 설명</x:t>
        </x:is>
      </x:c>
      <x:c r="B26" s="106" t="n"/>
      <x:c r="C26" s="106" t="n"/>
      <x:c r="D26" s="106" t="n"/>
      <x:c r="E26" s="106" t="n"/>
      <x:c r="F26" s="106" t="n"/>
      <x:c r="G26" s="106" t="n"/>
      <x:c r="H26" s="106" t="n"/>
    </x:row>
    <x:row r="27">
      <x:c r="A27" s="9" t="inlineStr">
        <x:is>
          <x:t xml:space="preserve">필드 경로</x:t>
        </x:is>
      </x:c>
      <x:c r="B27" s="10" t="inlineStr">
        <x:is>
          <x:t xml:space="preserve">타입</x:t>
        </x:is>
      </x:c>
      <x:c r="C27" s="10" t="inlineStr">
        <x:is>
          <x:t xml:space="preserve">필수/nullable</x:t>
        </x:is>
      </x:c>
      <x:c r="D27" s="11" t="inlineStr">
        <x:is>
          <x:t xml:space="preserve">필드 의미</x:t>
        </x:is>
      </x:c>
    </x:row>
    <x:row r="28">
      <x:c r="A28" s="67" t="inlineStr">
        <x:is>
          <x:t xml:space="preserve">coverLetterId</x:t>
        </x:is>
      </x:c>
      <x:c r="B28" s="46" t="inlineStr">
        <x:is>
          <x:t xml:space="preserve">string</x:t>
        </x:is>
      </x:c>
      <x:c r="C28" s="46" t="inlineStr">
        <x:is>
          <x:t xml:space="preserve">필수</x:t>
        </x:is>
      </x:c>
      <x:c r="D28" s="68" t="inlineStr">
        <x:is>
          <x:t xml:space="preserve">자기소개서 ID</x:t>
        </x:is>
      </x:c>
    </x:row>
    <x:row r="29">
      <x:c r="A29" s="69" t="inlineStr">
        <x:is>
          <x:t xml:space="preserve">questions</x:t>
        </x:is>
      </x:c>
      <x:c r="B29" s="47" t="inlineStr">
        <x:is>
          <x:t xml:space="preserve">array</x:t>
        </x:is>
      </x:c>
      <x:c r="C29" s="47" t="inlineStr">
        <x:is>
          <x:t xml:space="preserve">필수</x:t>
        </x:is>
      </x:c>
      <x:c r="D29" s="70" t="inlineStr">
        <x:is>
          <x:t xml:space="preserve">questions 값</x:t>
        </x:is>
      </x:c>
    </x:row>
    <x:row r="30">
      <x:c r="A30" s="69" t="inlineStr">
        <x:is>
          <x:t xml:space="preserve">questions[].id</x:t>
        </x:is>
      </x:c>
      <x:c r="B30" s="47" t="inlineStr">
        <x:is>
          <x:t xml:space="preserve">string</x:t>
        </x:is>
      </x:c>
      <x:c r="C30" s="47" t="inlineStr">
        <x:is>
          <x:t xml:space="preserve">필수</x:t>
        </x:is>
      </x:c>
      <x:c r="D30" s="70" t="inlineStr">
        <x:is>
          <x:t xml:space="preserve">리소스 고유 ID</x:t>
        </x:is>
      </x:c>
    </x:row>
    <x:row r="31">
      <x:c r="A31" s="69" t="inlineStr">
        <x:is>
          <x:t xml:space="preserve">questions[].order</x:t>
        </x:is>
      </x:c>
      <x:c r="B31" s="47" t="inlineStr">
        <x:is>
          <x:t xml:space="preserve">integer</x:t>
        </x:is>
      </x:c>
      <x:c r="C31" s="47" t="inlineStr">
        <x:is>
          <x:t xml:space="preserve">필수</x:t>
        </x:is>
      </x:c>
      <x:c r="D31" s="70" t="inlineStr">
        <x:is>
          <x:t xml:space="preserve">표시/저장 순서</x:t>
        </x:is>
      </x:c>
    </x:row>
    <x:row r="32">
      <x:c r="A32" s="69" t="inlineStr">
        <x:is>
          <x:t xml:space="preserve">questions[].question</x:t>
        </x:is>
      </x:c>
      <x:c r="B32" s="47" t="inlineStr">
        <x:is>
          <x:t xml:space="preserve">string</x:t>
        </x:is>
      </x:c>
      <x:c r="C32" s="47" t="inlineStr">
        <x:is>
          <x:t xml:space="preserve">필수</x:t>
        </x:is>
      </x:c>
      <x:c r="D32" s="70" t="inlineStr">
        <x:is>
          <x:t xml:space="preserve">자기소개서 또는 면접 질문</x:t>
        </x:is>
      </x:c>
    </x:row>
    <x:row r="33">
      <x:c r="A33" s="69" t="inlineStr">
        <x:is>
          <x:t xml:space="preserve">questions[].maxAnswerLength</x:t>
        </x:is>
      </x:c>
      <x:c r="B33" s="47" t="inlineStr">
        <x:is>
          <x:t xml:space="preserve">integer</x:t>
        </x:is>
      </x:c>
      <x:c r="C33" s="47" t="inlineStr">
        <x:is>
          <x:t xml:space="preserve">필수</x:t>
        </x:is>
      </x:c>
      <x:c r="D33" s="70" t="inlineStr">
        <x:is>
          <x:t xml:space="preserve">허용된 최대 답변 길이</x:t>
        </x:is>
      </x:c>
    </x:row>
    <x:row r="34">
      <x:c r="A34" s="69" t="inlineStr">
        <x:is>
          <x:t xml:space="preserve">questions[].originalAnswer</x:t>
        </x:is>
      </x:c>
      <x:c r="B34" s="47" t="inlineStr">
        <x:is>
          <x:t xml:space="preserve">string</x:t>
        </x:is>
      </x:c>
      <x:c r="C34" s="47" t="inlineStr">
        <x:is>
          <x:t xml:space="preserve">필수</x:t>
        </x:is>
      </x:c>
      <x:c r="D34" s="70" t="inlineStr">
        <x:is>
          <x:t xml:space="preserve">원본 답변</x:t>
        </x:is>
      </x:c>
    </x:row>
    <x:row r="35">
      <x:c r="A35" s="71" t="inlineStr">
        <x:is>
          <x:t xml:space="preserve">updatedAt</x:t>
        </x:is>
      </x:c>
      <x:c r="B35" s="48" t="inlineStr">
        <x:is>
          <x:t xml:space="preserve">string</x:t>
        </x:is>
      </x:c>
      <x:c r="C35" s="48" t="inlineStr">
        <x:is>
          <x:t xml:space="preserve">필수</x:t>
        </x:is>
      </x:c>
      <x:c r="D35" s="72" t="inlineStr">
        <x:is>
          <x:t xml:space="preserve">최근 수정 일시</x:t>
        </x:is>
      </x:c>
    </x:row>
    <x:row r="37" ht="24" customHeight="1">
      <x:c r="A37" s="113" t="inlineStr">
        <x:is>
          <x:t xml:space="preserve">오류 응답</x:t>
        </x:is>
      </x:c>
      <x:c r="B37" s="106" t="n"/>
      <x:c r="C37" s="106" t="n"/>
      <x:c r="D37" s="106" t="n"/>
      <x:c r="E37" s="106" t="n"/>
      <x:c r="F37" s="106" t="n"/>
      <x:c r="G37" s="106" t="n"/>
      <x:c r="H37" s="106" t="n"/>
    </x:row>
    <x:row r="38">
      <x:c r="A38" s="9" t="inlineStr">
        <x:is>
          <x:t xml:space="preserve">HTTP 상태</x:t>
        </x:is>
      </x:c>
      <x:c r="B38" s="10" t="inlineStr">
        <x:is>
          <x:t xml:space="preserve">오류 코드</x:t>
        </x:is>
      </x:c>
      <x:c r="C38" s="10" t="inlineStr">
        <x:is>
          <x:t xml:space="preserve">발생 조건</x:t>
        </x:is>
      </x:c>
      <x:c r="D38" s="10" t="inlineStr">
        <x:is>
          <x:t xml:space="preserve">프론트 처리</x:t>
        </x:is>
      </x:c>
      <x:c r="E38" s="11" t="inlineStr">
        <x:is>
          <x:t xml:space="preserve">현재 상태</x:t>
        </x:is>
      </x:c>
    </x:row>
    <x:row r="39">
      <x:c r="A39" s="67" t="inlineStr">
        <x:is>
          <x:t xml:space="preserve">400 Bad Request</x:t>
        </x:is>
      </x:c>
      <x:c r="B39" s="46" t="inlineStr">
        <x:is>
          <x:t xml:space="preserve">VALIDATION_ERROR</x:t>
        </x:is>
      </x:c>
      <x:c r="C39" s="46" t="inlineStr">
        <x:is>
          <x:t xml:space="preserve">요청 값이 올바르지 않습니다.</x:t>
        </x:is>
      </x:c>
      <x:c r="D39" s="46" t="inlineStr">
        <x:is>
          <x:t xml:space="preserve">error.details의 field/reason을 입력 항목에 표시</x:t>
        </x:is>
      </x:c>
      <x:c r="E39" s="68" t="inlineStr">
        <x:is>
          <x:t xml:space="preserve">현재 구현</x:t>
        </x:is>
      </x:c>
    </x:row>
    <x:row r="40">
      <x:c r="A40" s="69" t="inlineStr">
        <x:is>
          <x:t xml:space="preserve">409 Conflict</x:t>
        </x:is>
      </x:c>
      <x:c r="B40" s="47" t="inlineStr">
        <x:is>
          <x:t xml:space="preserve">COVER_LETTER_NOT_DRAFT</x:t>
        </x:is>
      </x:c>
      <x:c r="C40" s="47" t="inlineStr">
        <x:is>
          <x:t xml:space="preserve">제출 이후에는 원본 자기소개서를 수정할 수 없습니다.</x:t>
        </x:is>
      </x:c>
      <x:c r="D40" s="47" t="inlineStr">
        <x:is>
          <x:t xml:space="preserve">수정 UI를 잠그고 최신 상태 재조회</x:t>
        </x:is>
      </x:c>
      <x:c r="E40" s="70" t="inlineStr">
        <x:is>
          <x:t xml:space="preserve">현재 구현</x:t>
        </x:is>
      </x:c>
    </x:row>
    <x:row r="41">
      <x:c r="A41" s="69" t="inlineStr">
        <x:is>
          <x:t xml:space="preserve">401 Unauthorized</x:t>
        </x:is>
      </x:c>
      <x:c r="B41" s="47" t="inlineStr">
        <x:is>
          <x:t xml:space="preserve">UNAUTHORIZED</x:t>
        </x:is>
      </x:c>
      <x:c r="C41" s="47" t="inlineStr">
        <x:is>
          <x:t xml:space="preserve">인증 쿠키가 없거나 유효하지 않음</x:t>
        </x:is>
      </x:c>
      <x:c r="D41" s="47" t="inlineStr">
        <x:is>
          <x:t xml:space="preserve">로그인 화면으로 이동</x:t>
        </x:is>
      </x:c>
      <x:c r="E41" s="70" t="inlineStr">
        <x:is>
          <x:t xml:space="preserve">계약 정의·인증 미구현</x:t>
        </x:is>
      </x:c>
    </x:row>
    <x:row r="42">
      <x:c r="A42" s="69" t="inlineStr">
        <x:is>
          <x:t xml:space="preserve">403 Forbidden</x:t>
        </x:is>
      </x:c>
      <x:c r="B42" s="47" t="inlineStr">
        <x:is>
          <x:t xml:space="preserve">CSRF_INVALID</x:t>
        </x:is>
      </x:c>
      <x:c r="C42" s="47" t="inlineStr">
        <x:is>
          <x:t xml:space="preserve">CSRF 토큰이 없거나 일치하지 않음</x:t>
        </x:is>
      </x:c>
      <x:c r="D42" s="47" t="inlineStr">
        <x:is>
          <x:t xml:space="preserve">토큰 갱신 후 1회 재시도</x:t>
        </x:is>
      </x:c>
      <x:c r="E42" s="70" t="inlineStr">
        <x:is>
          <x:t xml:space="preserve">계약 정의·CSRF 미구현</x:t>
        </x:is>
      </x:c>
    </x:row>
    <x:row r="43">
      <x:c r="A43" s="69" t="inlineStr">
        <x:is>
          <x:t xml:space="preserve">404 Not Found</x:t>
        </x:is>
      </x:c>
      <x:c r="B43" s="47" t="inlineStr">
        <x:is>
          <x:t xml:space="preserve">NOT_FOUND</x:t>
        </x:is>
      </x:c>
      <x:c r="C43" s="47" t="inlineStr">
        <x:is>
          <x:t xml:space="preserve">대상이 없거나 접근 권한이 없음</x:t>
        </x:is>
      </x:c>
      <x:c r="D43" s="47" t="inlineStr">
        <x:is>
          <x:t xml:space="preserve">목록으로 이동하거나 삭제 상태 반영</x:t>
        </x:is>
      </x:c>
      <x:c r="E43" s="70" t="inlineStr">
        <x:is>
          <x:t xml:space="preserve">현재 구현</x:t>
        </x:is>
      </x:c>
    </x:row>
    <x:row r="44">
      <x:c r="A44" s="71" t="inlineStr">
        <x:is>
          <x:t xml:space="preserve">500 Internal Server Error</x:t>
        </x:is>
      </x:c>
      <x:c r="B44" s="48" t="inlineStr">
        <x:is>
          <x:t xml:space="preserve">INTERNAL_ERROR</x:t>
        </x:is>
      </x:c>
      <x:c r="C44" s="48" t="inlineStr">
        <x:is>
          <x:t xml:space="preserve">예상하지 못한 서버 오류</x:t>
        </x:is>
      </x:c>
      <x:c r="D44" s="48" t="inlineStr">
        <x:is>
          <x:t xml:space="preserve">재시도 안내 후 지속 시 오류 정보 전달</x:t>
        </x:is>
      </x:c>
      <x:c r="E44" s="72" t="inlineStr">
        <x:is>
          <x:t xml:space="preserve">현재 구현</x:t>
        </x:is>
      </x:c>
    </x:row>
  </x:sheetData>
  <x:mergeCells>
    <x:mergeCell ref="A4:H4"/>
    <x:mergeCell ref="A26:H26"/>
    <x:mergeCell ref="A16:H16"/>
    <x:mergeCell ref="A10:H10"/>
    <x:mergeCell ref="B2:H2"/>
    <x:mergeCell ref="A11:H11"/>
    <x:mergeCell ref="A13:H13"/>
    <x:mergeCell ref="A14:H14"/>
    <x:mergeCell ref="A1:H1"/>
    <x:mergeCell ref="A37:H37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727de08f9a044dcb"/>
    <x:tablePart xmlns:r="http://schemas.openxmlformats.org/officeDocument/2006/relationships" r:id="R859ea779dd6945de"/>
    <x:tablePart xmlns:r="http://schemas.openxmlformats.org/officeDocument/2006/relationships" r:id="Rb7e9a4ec83d14d10"/>
  </x:tableParts>
</x:worksheet>
</file>

<file path=xl/worksheets/sheet13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API-012  ·  자기소개서 상세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/cover-letters/{coverLetterId}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자기소개서 상세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/cover-letters/cl_01HZ...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350" customHeight="1">
      <x:c r="A14" s="115" t="inlineStr">
        <x:is>
          <x:t xml:space="preserve">HTTP/1.1 200 OK
Content-Type: application/json
{
  "id": "cl_01HZ...",
  "title": "2026 상반기 백엔드 개발자 자기소개서",
  "companyName": "Rewrite Corp",
  "positionTitle": "백엔드 개발자",
  "jobPostingUrl": "https://example.com/jobs/1",
  "preferences": "Spring Boot 경험, 대용량 트래픽 처리 경험 우대",
  "status": "DRAFT",
  "questions": [
    {
      "id": "clq_01HZ...",
      "order": 1,
      "question": "지원 동기를 작성해주세요.",
      "maxAnswerLength": 1000,
      "originalAnswer": "제가 지원한 이유는..."
    }
  ],
  "createdAt": "2026-06-20T14:00:00",
  "updatedAt": "2026-06-20T14:10:00",
  "latestReviewVersionId": null,
  "latestFirstReviewJob": null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5" ht="56" customHeight="1">
      <x:c r="A15" s="115" t="inlineStr">
        <x:is>
          <x:t xml:space="preserve">}</x:t>
        </x:is>
      </x:c>
      <x:c r="B15" s="116" t="n"/>
      <x:c r="C15" s="116" t="n"/>
      <x:c r="D15" s="116" t="n"/>
      <x:c r="E15" s="116" t="n"/>
      <x:c r="F15" s="116" t="n"/>
      <x:c r="G15" s="116" t="n"/>
      <x:c r="H15" s="117" t="n"/>
    </x:row>
    <x:row r="17" ht="24" customHeight="1">
      <x:c r="A17" s="113" t="inlineStr">
        <x:is>
          <x:t xml:space="preserve">요청 필드 설명</x:t>
        </x:is>
      </x:c>
      <x:c r="B17" s="106" t="n"/>
      <x:c r="C17" s="106" t="n"/>
      <x:c r="D17" s="106" t="n"/>
      <x:c r="E17" s="106" t="n"/>
      <x:c r="F17" s="106" t="n"/>
      <x:c r="G17" s="106" t="n"/>
      <x:c r="H17" s="106" t="n"/>
    </x:row>
    <x:row r="18">
      <x:c r="A18" s="9" t="inlineStr">
        <x:is>
          <x:t xml:space="preserve">위치</x:t>
        </x:is>
      </x:c>
      <x:c r="B18" s="10" t="inlineStr">
        <x:is>
          <x:t xml:space="preserve">필드 경로</x:t>
        </x:is>
      </x:c>
      <x:c r="C18" s="10" t="inlineStr">
        <x:is>
          <x:t xml:space="preserve">타입</x:t>
        </x:is>
      </x:c>
      <x:c r="D18" s="10" t="inlineStr">
        <x:is>
          <x:t xml:space="preserve">필수 여부</x:t>
        </x:is>
      </x:c>
      <x:c r="E18" s="11" t="inlineStr">
        <x:is>
          <x:t xml:space="preserve">의미·제약</x:t>
        </x:is>
      </x:c>
    </x:row>
    <x:row r="19">
      <x:c r="A19" s="67" t="inlineStr">
        <x:is>
          <x:t xml:space="preserve">path</x:t>
        </x:is>
      </x:c>
      <x:c r="B19" s="46" t="inlineStr">
        <x:is>
          <x:t xml:space="preserve">coverLetterId</x:t>
        </x:is>
      </x:c>
      <x:c r="C19" s="46" t="inlineStr">
        <x:is>
          <x:t xml:space="preserve">string</x:t>
        </x:is>
      </x:c>
      <x:c r="D19" s="46" t="inlineStr">
        <x:is>
          <x:t xml:space="preserve">필수</x:t>
        </x:is>
      </x:c>
      <x:c r="E19" s="68" t="inlineStr">
        <x:is>
          <x:t xml:space="preserve">자기소개서 ID</x:t>
        </x:is>
      </x:c>
    </x:row>
    <x:row r="20">
      <x:c r="A20" s="71" t="inlineStr">
        <x:is>
          <x:t xml:space="preserve">cookie</x:t>
        </x:is>
      </x:c>
      <x:c r="B20" s="48" t="inlineStr">
        <x:is>
          <x:t xml:space="preserve">access_token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현재 사용자 인증 cookie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67" t="inlineStr">
        <x:is>
          <x:t xml:space="preserve">id</x:t>
        </x:is>
      </x:c>
      <x:c r="B24" s="46" t="inlineStr">
        <x:is>
          <x:t xml:space="preserve">string</x:t>
        </x:is>
      </x:c>
      <x:c r="C24" s="46" t="inlineStr">
        <x:is>
          <x:t xml:space="preserve">조건부/nullable</x:t>
        </x:is>
      </x:c>
      <x:c r="D24" s="68" t="inlineStr">
        <x:is>
          <x:t xml:space="preserve">리소스 고유 ID</x:t>
        </x:is>
      </x:c>
    </x:row>
    <x:row r="25">
      <x:c r="A25" s="69" t="inlineStr">
        <x:is>
          <x:t xml:space="preserve">title</x:t>
        </x:is>
      </x:c>
      <x:c r="B25" s="47" t="inlineStr">
        <x:is>
          <x:t xml:space="preserve">string</x:t>
        </x:is>
      </x:c>
      <x:c r="C25" s="47" t="inlineStr">
        <x:is>
          <x:t xml:space="preserve">조건부/nullable</x:t>
        </x:is>
      </x:c>
      <x:c r="D25" s="70" t="inlineStr">
        <x:is>
          <x:t xml:space="preserve">자기소개서 제목</x:t>
        </x:is>
      </x:c>
    </x:row>
    <x:row r="26">
      <x:c r="A26" s="69" t="inlineStr">
        <x:is>
          <x:t xml:space="preserve">companyName</x:t>
        </x:is>
      </x:c>
      <x:c r="B26" s="47" t="inlineStr">
        <x:is>
          <x:t xml:space="preserve">string</x:t>
        </x:is>
      </x:c>
      <x:c r="C26" s="47" t="inlineStr">
        <x:is>
          <x:t xml:space="preserve">조건부/nullable</x:t>
        </x:is>
      </x:c>
      <x:c r="D26" s="70" t="inlineStr">
        <x:is>
          <x:t xml:space="preserve">지원 회사명</x:t>
        </x:is>
      </x:c>
    </x:row>
    <x:row r="27">
      <x:c r="A27" s="69" t="inlineStr">
        <x:is>
          <x:t xml:space="preserve">positionTitle</x:t>
        </x:is>
      </x:c>
      <x:c r="B27" s="47" t="inlineStr">
        <x:is>
          <x:t xml:space="preserve">string</x:t>
        </x:is>
      </x:c>
      <x:c r="C27" s="47" t="inlineStr">
        <x:is>
          <x:t xml:space="preserve">조건부/nullable</x:t>
        </x:is>
      </x:c>
      <x:c r="D27" s="70" t="inlineStr">
        <x:is>
          <x:t xml:space="preserve">지원 직무명</x:t>
        </x:is>
      </x:c>
    </x:row>
    <x:row r="28">
      <x:c r="A28" s="69" t="inlineStr">
        <x:is>
          <x:t xml:space="preserve">jobPostingUrl</x:t>
        </x:is>
      </x:c>
      <x:c r="B28" s="47" t="inlineStr">
        <x:is>
          <x:t xml:space="preserve">string</x:t>
        </x:is>
      </x:c>
      <x:c r="C28" s="47" t="inlineStr">
        <x:is>
          <x:t xml:space="preserve">조건부/nullable</x:t>
        </x:is>
      </x:c>
      <x:c r="D28" s="70" t="inlineStr">
        <x:is>
          <x:t xml:space="preserve">채용 공고 URL</x:t>
        </x:is>
      </x:c>
    </x:row>
    <x:row r="29">
      <x:c r="A29" s="69" t="inlineStr">
        <x:is>
          <x:t xml:space="preserve">preferences</x:t>
        </x:is>
      </x:c>
      <x:c r="B29" s="47" t="inlineStr">
        <x:is>
          <x:t xml:space="preserve">string</x:t>
        </x:is>
      </x:c>
      <x:c r="C29" s="47" t="inlineStr">
        <x:is>
          <x:t xml:space="preserve">조건부/nullable</x:t>
        </x:is>
      </x:c>
      <x:c r="D29" s="70" t="inlineStr">
        <x:is>
          <x:t xml:space="preserve">채용 우대사항 텍스트</x:t>
        </x:is>
      </x:c>
    </x:row>
    <x:row r="30">
      <x:c r="A30" s="69" t="inlineStr">
        <x:is>
          <x:t xml:space="preserve">status</x:t>
        </x:is>
      </x:c>
      <x:c r="B30" s="47" t="inlineStr">
        <x:is>
          <x:t xml:space="preserve">string</x:t>
        </x:is>
      </x:c>
      <x:c r="C30" s="47" t="inlineStr">
        <x:is>
          <x:t xml:space="preserve">조건부/nullable</x:t>
        </x:is>
      </x:c>
      <x:c r="D30" s="70" t="inlineStr">
        <x:is>
          <x:t xml:space="preserve">현재 처리/리소스 상태</x:t>
        </x:is>
      </x:c>
    </x:row>
    <x:row r="31">
      <x:c r="A31" s="69" t="inlineStr">
        <x:is>
          <x:t xml:space="preserve">questions</x:t>
        </x:is>
      </x:c>
      <x:c r="B31" s="47" t="inlineStr">
        <x:is>
          <x:t xml:space="preserve">array</x:t>
        </x:is>
      </x:c>
      <x:c r="C31" s="47" t="inlineStr">
        <x:is>
          <x:t xml:space="preserve">조건부/nullable</x:t>
        </x:is>
      </x:c>
      <x:c r="D31" s="70" t="inlineStr">
        <x:is>
          <x:t xml:space="preserve">questions 값</x:t>
        </x:is>
      </x:c>
    </x:row>
    <x:row r="32">
      <x:c r="A32" s="69" t="inlineStr">
        <x:is>
          <x:t xml:space="preserve">questions[].id</x:t>
        </x:is>
      </x:c>
      <x:c r="B32" s="47" t="inlineStr">
        <x:is>
          <x:t xml:space="preserve">string</x:t>
        </x:is>
      </x:c>
      <x:c r="C32" s="47" t="inlineStr">
        <x:is>
          <x:t xml:space="preserve">조건부/nullable</x:t>
        </x:is>
      </x:c>
      <x:c r="D32" s="70" t="inlineStr">
        <x:is>
          <x:t xml:space="preserve">리소스 고유 ID</x:t>
        </x:is>
      </x:c>
    </x:row>
    <x:row r="33">
      <x:c r="A33" s="69" t="inlineStr">
        <x:is>
          <x:t xml:space="preserve">questions[].order</x:t>
        </x:is>
      </x:c>
      <x:c r="B33" s="47" t="inlineStr">
        <x:is>
          <x:t xml:space="preserve">integer</x:t>
        </x:is>
      </x:c>
      <x:c r="C33" s="47" t="inlineStr">
        <x:is>
          <x:t xml:space="preserve">조건부/nullable</x:t>
        </x:is>
      </x:c>
      <x:c r="D33" s="70" t="inlineStr">
        <x:is>
          <x:t xml:space="preserve">표시/저장 순서</x:t>
        </x:is>
      </x:c>
    </x:row>
    <x:row r="34">
      <x:c r="A34" s="69" t="inlineStr">
        <x:is>
          <x:t xml:space="preserve">questions[].question</x:t>
        </x:is>
      </x:c>
      <x:c r="B34" s="47" t="inlineStr">
        <x:is>
          <x:t xml:space="preserve">string</x:t>
        </x:is>
      </x:c>
      <x:c r="C34" s="47" t="inlineStr">
        <x:is>
          <x:t xml:space="preserve">조건부/nullable</x:t>
        </x:is>
      </x:c>
      <x:c r="D34" s="70" t="inlineStr">
        <x:is>
          <x:t xml:space="preserve">자기소개서 또는 면접 질문</x:t>
        </x:is>
      </x:c>
    </x:row>
    <x:row r="35">
      <x:c r="A35" s="69" t="inlineStr">
        <x:is>
          <x:t xml:space="preserve">questions[].maxAnswerLength</x:t>
        </x:is>
      </x:c>
      <x:c r="B35" s="47" t="inlineStr">
        <x:is>
          <x:t xml:space="preserve">integer</x:t>
        </x:is>
      </x:c>
      <x:c r="C35" s="47" t="inlineStr">
        <x:is>
          <x:t xml:space="preserve">조건부/nullable</x:t>
        </x:is>
      </x:c>
      <x:c r="D35" s="70" t="inlineStr">
        <x:is>
          <x:t xml:space="preserve">허용된 최대 답변 길이</x:t>
        </x:is>
      </x:c>
    </x:row>
    <x:row r="36">
      <x:c r="A36" s="69" t="inlineStr">
        <x:is>
          <x:t xml:space="preserve">questions[].originalAnswer</x:t>
        </x:is>
      </x:c>
      <x:c r="B36" s="47" t="inlineStr">
        <x:is>
          <x:t xml:space="preserve">string</x:t>
        </x:is>
      </x:c>
      <x:c r="C36" s="47" t="inlineStr">
        <x:is>
          <x:t xml:space="preserve">조건부/nullable</x:t>
        </x:is>
      </x:c>
      <x:c r="D36" s="70" t="inlineStr">
        <x:is>
          <x:t xml:space="preserve">원본 답변</x:t>
        </x:is>
      </x:c>
    </x:row>
    <x:row r="37">
      <x:c r="A37" s="69" t="inlineStr">
        <x:is>
          <x:t xml:space="preserve">createdAt</x:t>
        </x:is>
      </x:c>
      <x:c r="B37" s="47" t="inlineStr">
        <x:is>
          <x:t xml:space="preserve">string</x:t>
        </x:is>
      </x:c>
      <x:c r="C37" s="47" t="inlineStr">
        <x:is>
          <x:t xml:space="preserve">조건부/nullable</x:t>
        </x:is>
      </x:c>
      <x:c r="D37" s="70" t="inlineStr">
        <x:is>
          <x:t xml:space="preserve">생성 일시</x:t>
        </x:is>
      </x:c>
    </x:row>
    <x:row r="38">
      <x:c r="A38" s="69" t="inlineStr">
        <x:is>
          <x:t xml:space="preserve">updatedAt</x:t>
        </x:is>
      </x:c>
      <x:c r="B38" s="47" t="inlineStr">
        <x:is>
          <x:t xml:space="preserve">string</x:t>
        </x:is>
      </x:c>
      <x:c r="C38" s="47" t="inlineStr">
        <x:is>
          <x:t xml:space="preserve">조건부/nullable</x:t>
        </x:is>
      </x:c>
      <x:c r="D38" s="70" t="inlineStr">
        <x:is>
          <x:t xml:space="preserve">최근 수정 일시</x:t>
        </x:is>
      </x:c>
    </x:row>
    <x:row r="39">
      <x:c r="A39" s="69" t="inlineStr">
        <x:is>
          <x:t xml:space="preserve">latestReviewVersionId</x:t>
        </x:is>
      </x:c>
      <x:c r="B39" s="47" t="inlineStr">
        <x:is>
          <x:t xml:space="preserve">nullable</x:t>
        </x:is>
      </x:c>
      <x:c r="C39" s="47" t="inlineStr">
        <x:is>
          <x:t xml:space="preserve">조건부/nullable</x:t>
        </x:is>
      </x:c>
      <x:c r="D39" s="70" t="inlineStr">
        <x:is>
          <x:t xml:space="preserve">최신 첨삭 버전 ID</x:t>
        </x:is>
      </x:c>
    </x:row>
    <x:row r="40">
      <x:c r="A40" s="69" t="inlineStr">
        <x:is>
          <x:t xml:space="preserve">latestFirstReviewJob</x:t>
        </x:is>
      </x:c>
      <x:c r="B40" s="47" t="inlineStr">
        <x:is>
          <x:t xml:space="preserve">object</x:t>
        </x:is>
      </x:c>
      <x:c r="C40" s="47" t="inlineStr">
        <x:is>
          <x:t xml:space="preserve">조건부/nullable</x:t>
        </x:is>
      </x:c>
      <x:c r="D40" s="70" t="inlineStr">
        <x:is>
          <x:t xml:space="preserve">latestFirstReviewJob 값</x:t>
        </x:is>
      </x:c>
    </x:row>
    <x:row r="41">
      <x:c r="A41" s="69" t="inlineStr">
        <x:is>
          <x:t xml:space="preserve">latestFirstReviewJob.jobId</x:t>
        </x:is>
      </x:c>
      <x:c r="B41" s="47" t="inlineStr">
        <x:is>
          <x:t xml:space="preserve">string</x:t>
        </x:is>
      </x:c>
      <x:c r="C41" s="47" t="inlineStr">
        <x:is>
          <x:t xml:space="preserve">조건부/nullable</x:t>
        </x:is>
      </x:c>
      <x:c r="D41" s="70" t="inlineStr">
        <x:is>
          <x:t xml:space="preserve">LLM Job ID</x:t>
        </x:is>
      </x:c>
    </x:row>
    <x:row r="42">
      <x:c r="A42" s="69" t="inlineStr">
        <x:is>
          <x:t xml:space="preserve">latestFirstReviewJob.status</x:t>
        </x:is>
      </x:c>
      <x:c r="B42" s="47" t="inlineStr">
        <x:is>
          <x:t xml:space="preserve">string</x:t>
        </x:is>
      </x:c>
      <x:c r="C42" s="47" t="inlineStr">
        <x:is>
          <x:t xml:space="preserve">조건부/nullable</x:t>
        </x:is>
      </x:c>
      <x:c r="D42" s="70" t="inlineStr">
        <x:is>
          <x:t xml:space="preserve">현재 처리/리소스 상태</x:t>
        </x:is>
      </x:c>
    </x:row>
    <x:row r="43">
      <x:c r="A43" s="69" t="inlineStr">
        <x:is>
          <x:t xml:space="preserve">latestFirstReviewJob.progress</x:t>
        </x:is>
      </x:c>
      <x:c r="B43" s="47" t="inlineStr">
        <x:is>
          <x:t xml:space="preserve">object</x:t>
        </x:is>
      </x:c>
      <x:c r="C43" s="47" t="inlineStr">
        <x:is>
          <x:t xml:space="preserve">조건부/nullable</x:t>
        </x:is>
      </x:c>
      <x:c r="D43" s="70" t="inlineStr">
        <x:is>
          <x:t xml:space="preserve">작업 진행 정보</x:t>
        </x:is>
      </x:c>
    </x:row>
    <x:row r="44">
      <x:c r="A44" s="69" t="inlineStr">
        <x:is>
          <x:t xml:space="preserve">latestFirstReviewJob.progress.current</x:t>
        </x:is>
      </x:c>
      <x:c r="B44" s="47" t="inlineStr">
        <x:is>
          <x:t xml:space="preserve">integer</x:t>
        </x:is>
      </x:c>
      <x:c r="C44" s="47" t="inlineStr">
        <x:is>
          <x:t xml:space="preserve">조건부/nullable</x:t>
        </x:is>
      </x:c>
      <x:c r="D44" s="70" t="inlineStr">
        <x:is>
          <x:t xml:space="preserve">현재 처리 완료 단위</x:t>
        </x:is>
      </x:c>
    </x:row>
    <x:row r="45">
      <x:c r="A45" s="69" t="inlineStr">
        <x:is>
          <x:t xml:space="preserve">latestFirstReviewJob.progress.total</x:t>
        </x:is>
      </x:c>
      <x:c r="B45" s="47" t="inlineStr">
        <x:is>
          <x:t xml:space="preserve">integer</x:t>
        </x:is>
      </x:c>
      <x:c r="C45" s="47" t="inlineStr">
        <x:is>
          <x:t xml:space="preserve">조건부/nullable</x:t>
        </x:is>
      </x:c>
      <x:c r="D45" s="70" t="inlineStr">
        <x:is>
          <x:t xml:space="preserve">전체 처리 단위</x:t>
        </x:is>
      </x:c>
    </x:row>
    <x:row r="46">
      <x:c r="A46" s="69" t="inlineStr">
        <x:is>
          <x:t xml:space="preserve">latestFirstReviewJob.progress.message</x:t>
        </x:is>
      </x:c>
      <x:c r="B46" s="47" t="inlineStr">
        <x:is>
          <x:t xml:space="preserve">string</x:t>
        </x:is>
      </x:c>
      <x:c r="C46" s="47" t="inlineStr">
        <x:is>
          <x:t xml:space="preserve">조건부/nullable</x:t>
        </x:is>
      </x:c>
      <x:c r="D46" s="70" t="inlineStr">
        <x:is>
          <x:t xml:space="preserve">사용자 표시 메시지</x:t>
        </x:is>
      </x:c>
    </x:row>
    <x:row r="47">
      <x:c r="A47" s="69" t="inlineStr">
        <x:is>
          <x:t xml:space="preserve">latestFirstReviewJob.partialResult</x:t>
        </x:is>
      </x:c>
      <x:c r="B47" s="47" t="inlineStr">
        <x:is>
          <x:t xml:space="preserve">object</x:t>
        </x:is>
      </x:c>
      <x:c r="C47" s="47" t="inlineStr">
        <x:is>
          <x:t xml:space="preserve">조건부/nullable</x:t>
        </x:is>
      </x:c>
      <x:c r="D47" s="70" t="inlineStr">
        <x:is>
          <x:t xml:space="preserve">진행 중 부분 결과; 저장소 미구현 시 null</x:t>
        </x:is>
      </x:c>
    </x:row>
    <x:row r="48">
      <x:c r="A48" s="69" t="inlineStr">
        <x:is>
          <x:t xml:space="preserve">latestFirstReviewJob.partialResult.questions</x:t>
        </x:is>
      </x:c>
      <x:c r="B48" s="47" t="inlineStr">
        <x:is>
          <x:t xml:space="preserve">array</x:t>
        </x:is>
      </x:c>
      <x:c r="C48" s="47" t="inlineStr">
        <x:is>
          <x:t xml:space="preserve">조건부/nullable</x:t>
        </x:is>
      </x:c>
      <x:c r="D48" s="70" t="inlineStr">
        <x:is>
          <x:t xml:space="preserve">questions 값</x:t>
        </x:is>
      </x:c>
    </x:row>
    <x:row r="49">
      <x:c r="A49" s="69" t="inlineStr">
        <x:is>
          <x:t xml:space="preserve">latestFirstReviewJob.partialResult.questions[].questionId</x:t>
        </x:is>
      </x:c>
      <x:c r="B49" s="47" t="inlineStr">
        <x:is>
          <x:t xml:space="preserve">string</x:t>
        </x:is>
      </x:c>
      <x:c r="C49" s="47" t="inlineStr">
        <x:is>
          <x:t xml:space="preserve">조건부/nullable</x:t>
        </x:is>
      </x:c>
      <x:c r="D49" s="70" t="inlineStr">
        <x:is>
          <x:t xml:space="preserve">자기소개서 문항 ID</x:t>
        </x:is>
      </x:c>
    </x:row>
    <x:row r="50">
      <x:c r="A50" s="69" t="inlineStr">
        <x:is>
          <x:t xml:space="preserve">latestFirstReviewJob.partialResult.questions[].order</x:t>
        </x:is>
      </x:c>
      <x:c r="B50" s="47" t="inlineStr">
        <x:is>
          <x:t xml:space="preserve">integer</x:t>
        </x:is>
      </x:c>
      <x:c r="C50" s="47" t="inlineStr">
        <x:is>
          <x:t xml:space="preserve">조건부/nullable</x:t>
        </x:is>
      </x:c>
      <x:c r="D50" s="70" t="inlineStr">
        <x:is>
          <x:t xml:space="preserve">표시/저장 순서</x:t>
        </x:is>
      </x:c>
    </x:row>
    <x:row r="51">
      <x:c r="A51" s="69" t="inlineStr">
        <x:is>
          <x:t xml:space="preserve">latestFirstReviewJob.partialResult.questions[].aiReport</x:t>
        </x:is>
      </x:c>
      <x:c r="B51" s="47" t="inlineStr">
        <x:is>
          <x:t xml:space="preserve">string</x:t>
        </x:is>
      </x:c>
      <x:c r="C51" s="47" t="inlineStr">
        <x:is>
          <x:t xml:space="preserve">조건부/nullable</x:t>
        </x:is>
      </x:c>
      <x:c r="D51" s="70" t="inlineStr">
        <x:is>
          <x:t xml:space="preserve">AI 분석 및 개선 리포트</x:t>
        </x:is>
      </x:c>
    </x:row>
    <x:row r="52">
      <x:c r="A52" s="69" t="inlineStr">
        <x:is>
          <x:t xml:space="preserve">latestFirstReviewJob.partialResult.questions[].rewrittenAnswer</x:t>
        </x:is>
      </x:c>
      <x:c r="B52" s="47" t="inlineStr">
        <x:is>
          <x:t xml:space="preserve">string</x:t>
        </x:is>
      </x:c>
      <x:c r="C52" s="47" t="inlineStr">
        <x:is>
          <x:t xml:space="preserve">조건부/nullable</x:t>
        </x:is>
      </x:c>
      <x:c r="D52" s="70" t="inlineStr">
        <x:is>
          <x:t xml:space="preserve">AI가 재작성한 답변</x:t>
        </x:is>
      </x:c>
    </x:row>
    <x:row r="53">
      <x:c r="A53" s="69" t="inlineStr">
        <x:is>
          <x:t xml:space="preserve">latestFirstReviewJob.error</x:t>
        </x:is>
      </x:c>
      <x:c r="B53" s="47" t="inlineStr">
        <x:is>
          <x:t xml:space="preserve">nullable</x:t>
        </x:is>
      </x:c>
      <x:c r="C53" s="47" t="inlineStr">
        <x:is>
          <x:t xml:space="preserve">조건부/nullable</x:t>
        </x:is>
      </x:c>
      <x:c r="D53" s="70" t="inlineStr">
        <x:is>
          <x:t xml:space="preserve">오류 정보; 정상일 때 null</x:t>
        </x:is>
      </x:c>
    </x:row>
    <x:row r="54">
      <x:c r="A54" s="69" t="inlineStr">
        <x:is>
          <x:t xml:space="preserve">latestFirstReviewJob.createdAt</x:t>
        </x:is>
      </x:c>
      <x:c r="B54" s="47" t="inlineStr">
        <x:is>
          <x:t xml:space="preserve">string</x:t>
        </x:is>
      </x:c>
      <x:c r="C54" s="47" t="inlineStr">
        <x:is>
          <x:t xml:space="preserve">조건부/nullable</x:t>
        </x:is>
      </x:c>
      <x:c r="D54" s="70" t="inlineStr">
        <x:is>
          <x:t xml:space="preserve">생성 일시</x:t>
        </x:is>
      </x:c>
    </x:row>
    <x:row r="55">
      <x:c r="A55" s="71" t="inlineStr">
        <x:is>
          <x:t xml:space="preserve">latestFirstReviewJob.completedAt</x:t>
        </x:is>
      </x:c>
      <x:c r="B55" s="48" t="inlineStr">
        <x:is>
          <x:t xml:space="preserve">nullable</x:t>
        </x:is>
      </x:c>
      <x:c r="C55" s="48" t="inlineStr">
        <x:is>
          <x:t xml:space="preserve">조건부/nullable</x:t>
        </x:is>
      </x:c>
      <x:c r="D55" s="72" t="inlineStr">
        <x:is>
          <x:t xml:space="preserve">작업 완료 일시</x:t>
        </x:is>
      </x:c>
    </x:row>
    <x:row r="57" ht="24" customHeight="1">
      <x:c r="A57" s="113" t="inlineStr">
        <x:is>
          <x:t xml:space="preserve">오류 응답</x:t>
        </x:is>
      </x:c>
      <x:c r="B57" s="106" t="n"/>
      <x:c r="C57" s="106" t="n"/>
      <x:c r="D57" s="106" t="n"/>
      <x:c r="E57" s="106" t="n"/>
      <x:c r="F57" s="106" t="n"/>
      <x:c r="G57" s="106" t="n"/>
      <x:c r="H57" s="106" t="n"/>
    </x:row>
    <x:row r="58">
      <x:c r="A58" s="9" t="inlineStr">
        <x:is>
          <x:t xml:space="preserve">HTTP 상태</x:t>
        </x:is>
      </x:c>
      <x:c r="B58" s="10" t="inlineStr">
        <x:is>
          <x:t xml:space="preserve">오류 코드</x:t>
        </x:is>
      </x:c>
      <x:c r="C58" s="10" t="inlineStr">
        <x:is>
          <x:t xml:space="preserve">발생 조건</x:t>
        </x:is>
      </x:c>
      <x:c r="D58" s="10" t="inlineStr">
        <x:is>
          <x:t xml:space="preserve">프론트 처리</x:t>
        </x:is>
      </x:c>
      <x:c r="E58" s="11" t="inlineStr">
        <x:is>
          <x:t xml:space="preserve">현재 상태</x:t>
        </x:is>
      </x:c>
    </x:row>
    <x:row r="59">
      <x:c r="A59" s="67" t="inlineStr">
        <x:is>
          <x:t xml:space="preserve">401 Unauthorized</x:t>
        </x:is>
      </x:c>
      <x:c r="B59" s="46" t="inlineStr">
        <x:is>
          <x:t xml:space="preserve">UNAUTHORIZED</x:t>
        </x:is>
      </x:c>
      <x:c r="C59" s="46" t="inlineStr">
        <x:is>
          <x:t xml:space="preserve">인증 쿠키가 없거나 유효하지 않음</x:t>
        </x:is>
      </x:c>
      <x:c r="D59" s="46" t="inlineStr">
        <x:is>
          <x:t xml:space="preserve">로그인 화면으로 이동</x:t>
        </x:is>
      </x:c>
      <x:c r="E59" s="68" t="inlineStr">
        <x:is>
          <x:t xml:space="preserve">계약 정의·인증 미구현</x:t>
        </x:is>
      </x:c>
    </x:row>
    <x:row r="60">
      <x:c r="A60" s="69" t="inlineStr">
        <x:is>
          <x:t xml:space="preserve">404 Not Found</x:t>
        </x:is>
      </x:c>
      <x:c r="B60" s="47" t="inlineStr">
        <x:is>
          <x:t xml:space="preserve">NOT_FOUND</x:t>
        </x:is>
      </x:c>
      <x:c r="C60" s="47" t="inlineStr">
        <x:is>
          <x:t xml:space="preserve">대상이 없거나 접근 권한이 없음</x:t>
        </x:is>
      </x:c>
      <x:c r="D60" s="47" t="inlineStr">
        <x:is>
          <x:t xml:space="preserve">목록으로 이동하거나 삭제 상태 반영</x:t>
        </x:is>
      </x:c>
      <x:c r="E60" s="70" t="inlineStr">
        <x:is>
          <x:t xml:space="preserve">현재 구현</x:t>
        </x:is>
      </x:c>
    </x:row>
    <x:row r="61">
      <x:c r="A61" s="71" t="inlineStr">
        <x:is>
          <x:t xml:space="preserve">500 Internal Server Error</x:t>
        </x:is>
      </x:c>
      <x:c r="B61" s="48" t="inlineStr">
        <x:is>
          <x:t xml:space="preserve">INTERNAL_ERROR</x:t>
        </x:is>
      </x:c>
      <x:c r="C61" s="48" t="inlineStr">
        <x:is>
          <x:t xml:space="preserve">예상하지 못한 서버 오류</x:t>
        </x:is>
      </x:c>
      <x:c r="D61" s="48" t="inlineStr">
        <x:is>
          <x:t xml:space="preserve">재시도 안내 후 지속 시 오류 정보 전달</x:t>
        </x:is>
      </x:c>
      <x:c r="E61" s="72" t="inlineStr">
        <x:is>
          <x:t xml:space="preserve">현재 구현</x:t>
        </x:is>
      </x:c>
    </x:row>
  </x:sheetData>
  <x:mergeCells>
    <x:mergeCell ref="A4:H4"/>
    <x:mergeCell ref="A15:H15"/>
    <x:mergeCell ref="A57:H57"/>
    <x:mergeCell ref="A10:H10"/>
    <x:mergeCell ref="B2:H2"/>
    <x:mergeCell ref="A11:H11"/>
    <x:mergeCell ref="A13:H13"/>
    <x:mergeCell ref="A14:H14"/>
    <x:mergeCell ref="A1:H1"/>
    <x:mergeCell ref="A22:H22"/>
    <x:mergeCell ref="A17:H17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dce6eba2b5af4e06"/>
    <x:tablePart xmlns:r="http://schemas.openxmlformats.org/officeDocument/2006/relationships" r:id="Rd85cd13c6e334960"/>
    <x:tablePart xmlns:r="http://schemas.openxmlformats.org/officeDocument/2006/relationships" r:id="Ref5d015ceed54322"/>
  </x:tableParts>
</x:worksheet>
</file>

<file path=xl/worksheets/sheet14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API-013  ·  자기소개서 soft delete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DELETE /cover-letters/{coverLetterId}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DELETE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자기소개서 soft delete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DELETE /cover-letters/cl_01HZ... HTTP/1.1
Accept: application/json
Cookie: access_token=&lt;access_token&gt;
X-CSRF-Token: &lt;csrf-token&gt;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12" customHeight="1">
      <x:c r="A14" s="115" t="inlineStr">
        <x:is>
          <x:t xml:space="preserve">HTTP/1.1 200 OK
Content-Type: application/json
{
  "success": true,
  "deletedAt": "2026-06-20T15:00:00"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71" t="inlineStr">
        <x:is>
          <x:t xml:space="preserve">header</x:t>
        </x:is>
      </x:c>
      <x:c r="B20" s="48" t="inlineStr">
        <x:is>
          <x:t xml:space="preserve">X-CSRF-Token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상태 변경 요청용 CSRF 토큰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67" t="inlineStr">
        <x:is>
          <x:t xml:space="preserve">success</x:t>
        </x:is>
      </x:c>
      <x:c r="B24" s="46" t="inlineStr">
        <x:is>
          <x:t xml:space="preserve">boolean</x:t>
        </x:is>
      </x:c>
      <x:c r="C24" s="46" t="inlineStr">
        <x:is>
          <x:t xml:space="preserve">필수</x:t>
        </x:is>
      </x:c>
      <x:c r="D24" s="68" t="inlineStr">
        <x:is>
          <x:t xml:space="preserve">처리 성공 여부</x:t>
        </x:is>
      </x:c>
    </x:row>
    <x:row r="25">
      <x:c r="A25" s="71" t="inlineStr">
        <x:is>
          <x:t xml:space="preserve">deletedAt</x:t>
        </x:is>
      </x:c>
      <x:c r="B25" s="48" t="inlineStr">
        <x:is>
          <x:t xml:space="preserve">string</x:t>
        </x:is>
      </x:c>
      <x:c r="C25" s="48" t="inlineStr">
        <x:is>
          <x:t xml:space="preserve">필수</x:t>
        </x:is>
      </x:c>
      <x:c r="D25" s="72" t="inlineStr">
        <x:is>
          <x:t xml:space="preserve">삭제 일시</x:t>
        </x:is>
      </x:c>
    </x:row>
    <x:row r="27" ht="24" customHeight="1">
      <x:c r="A27" s="113" t="inlineStr">
        <x:is>
          <x:t xml:space="preserve">오류 응답</x:t>
        </x:is>
      </x:c>
      <x:c r="B27" s="106" t="n"/>
      <x:c r="C27" s="106" t="n"/>
      <x:c r="D27" s="106" t="n"/>
      <x:c r="E27" s="106" t="n"/>
      <x:c r="F27" s="106" t="n"/>
      <x:c r="G27" s="106" t="n"/>
      <x:c r="H27" s="106" t="n"/>
    </x:row>
    <x:row r="28">
      <x:c r="A28" s="9" t="inlineStr">
        <x:is>
          <x:t xml:space="preserve">HTTP 상태</x:t>
        </x:is>
      </x:c>
      <x:c r="B28" s="10" t="inlineStr">
        <x:is>
          <x:t xml:space="preserve">오류 코드</x:t>
        </x:is>
      </x:c>
      <x:c r="C28" s="10" t="inlineStr">
        <x:is>
          <x:t xml:space="preserve">발생 조건</x:t>
        </x:is>
      </x:c>
      <x:c r="D28" s="10" t="inlineStr">
        <x:is>
          <x:t xml:space="preserve">프론트 처리</x:t>
        </x:is>
      </x:c>
      <x:c r="E28" s="11" t="inlineStr">
        <x:is>
          <x:t xml:space="preserve">현재 상태</x:t>
        </x:is>
      </x:c>
    </x:row>
    <x:row r="29">
      <x:c r="A29" s="67" t="inlineStr">
        <x:is>
          <x:t xml:space="preserve">404 Not Found</x:t>
        </x:is>
      </x:c>
      <x:c r="B29" s="46" t="inlineStr">
        <x:is>
          <x:t xml:space="preserve">NOT_FOUND</x:t>
        </x:is>
      </x:c>
      <x:c r="C29" s="46" t="inlineStr">
        <x:is>
          <x:t xml:space="preserve">리소스를 찾을 수 없습니다.</x:t>
        </x:is>
      </x:c>
      <x:c r="D29" s="46" t="inlineStr">
        <x:is>
          <x:t xml:space="preserve">목록으로 이동하거나 삭제 상태 반영</x:t>
        </x:is>
      </x:c>
      <x:c r="E29" s="68" t="inlineStr">
        <x:is>
          <x:t xml:space="preserve">현재 구현</x:t>
        </x:is>
      </x:c>
    </x:row>
    <x:row r="30">
      <x:c r="A30" s="69" t="inlineStr">
        <x:is>
          <x:t xml:space="preserve">401 Unauthorized</x:t>
        </x:is>
      </x:c>
      <x:c r="B30" s="47" t="inlineStr">
        <x:is>
          <x:t xml:space="preserve">UNAUTHORIZED</x:t>
        </x:is>
      </x:c>
      <x:c r="C30" s="47" t="inlineStr">
        <x:is>
          <x:t xml:space="preserve">인증 쿠키가 없거나 유효하지 않음</x:t>
        </x:is>
      </x:c>
      <x:c r="D30" s="47" t="inlineStr">
        <x:is>
          <x:t xml:space="preserve">로그인 화면으로 이동</x:t>
        </x:is>
      </x:c>
      <x:c r="E30" s="70" t="inlineStr">
        <x:is>
          <x:t xml:space="preserve">계약 정의·인증 미구현</x:t>
        </x:is>
      </x:c>
    </x:row>
    <x:row r="31">
      <x:c r="A31" s="69" t="inlineStr">
        <x:is>
          <x:t xml:space="preserve">403 Forbidden</x:t>
        </x:is>
      </x:c>
      <x:c r="B31" s="47" t="inlineStr">
        <x:is>
          <x:t xml:space="preserve">CSRF_INVALID</x:t>
        </x:is>
      </x:c>
      <x:c r="C31" s="47" t="inlineStr">
        <x:is>
          <x:t xml:space="preserve">CSRF 토큰이 없거나 일치하지 않음</x:t>
        </x:is>
      </x:c>
      <x:c r="D31" s="47" t="inlineStr">
        <x:is>
          <x:t xml:space="preserve">토큰 갱신 후 1회 재시도</x:t>
        </x:is>
      </x:c>
      <x:c r="E31" s="70" t="inlineStr">
        <x:is>
          <x:t xml:space="preserve">계약 정의·CSRF 미구현</x:t>
        </x:is>
      </x:c>
    </x:row>
    <x:row r="32">
      <x:c r="A32" s="71" t="inlineStr">
        <x:is>
          <x:t xml:space="preserve">500 Internal Server Error</x:t>
        </x:is>
      </x:c>
      <x:c r="B32" s="48" t="inlineStr">
        <x:is>
          <x:t xml:space="preserve">INTERNAL_ERROR</x:t>
        </x:is>
      </x:c>
      <x:c r="C32" s="48" t="inlineStr">
        <x:is>
          <x:t xml:space="preserve">예상하지 못한 서버 오류</x:t>
        </x:is>
      </x:c>
      <x:c r="D32" s="48" t="inlineStr">
        <x:is>
          <x:t xml:space="preserve">재시도 안내 후 지속 시 오류 정보 전달</x:t>
        </x:is>
      </x:c>
      <x:c r="E32" s="72" t="inlineStr">
        <x:is>
          <x:t xml:space="preserve">현재 구현</x:t>
        </x:is>
      </x:c>
    </x:row>
  </x:sheetData>
  <x:mergeCells>
    <x:mergeCell ref="A4:H4"/>
    <x:mergeCell ref="A16:H16"/>
    <x:mergeCell ref="A10:H10"/>
    <x:mergeCell ref="B2:H2"/>
    <x:mergeCell ref="A11:H11"/>
    <x:mergeCell ref="A13:H13"/>
    <x:mergeCell ref="A14:H14"/>
    <x:mergeCell ref="A1:H1"/>
    <x:mergeCell ref="A27:H27"/>
    <x:mergeCell ref="A22:H22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acdc9dd2399746c1"/>
    <x:tablePart xmlns:r="http://schemas.openxmlformats.org/officeDocument/2006/relationships" r:id="R758facc79ab54862"/>
    <x:tablePart xmlns:r="http://schemas.openxmlformats.org/officeDocument/2006/relationships" r:id="Rd4c51d0e26054ddc"/>
  </x:tableParts>
</x:worksheet>
</file>

<file path=xl/worksheets/sheet15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API-014  ·  첨삭 Job 생성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/cover-letters/{coverLetterId}/submit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/cover-letters/{coverLetterId}/submit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첨삭 Job 생성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12" customHeight="1">
      <x:c r="A11" s="115" t="inlineStr">
        <x:is>
          <x:t xml:space="preserve">POST /cover-letters/cl_01HZ.../submit HTTP/1.1
Accept: application/json
Cookie: access_token=&lt;access_token&gt;
X-CSRF-Token: &lt;csrf-token&gt;
Content-Type: application/json
{}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40" customHeight="1">
      <x:c r="A14" s="115" t="inlineStr">
        <x:is>
          <x:t xml:space="preserve">HTTP/1.1 200 OK
Content-Type: application/json
{
  "coverLetterId": "cl_01HZ...",
  "status": "REVIEWING",
  "jobId": "job_01HZ...",
  "latestReviewVersionId": null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71" t="inlineStr">
        <x:is>
          <x:t xml:space="preserve">body</x:t>
        </x:is>
      </x:c>
      <x:c r="B21" s="48" t="inlineStr">
        <x:is>
          <x:t xml:space="preserve">-</x:t>
        </x:is>
      </x:c>
      <x:c r="C21" s="48" t="inlineStr">
        <x:is>
          <x:t xml:space="preserve">empty object</x:t>
        </x:is>
      </x:c>
      <x:c r="D21" s="48" t="inlineStr">
        <x:is>
          <x:t xml:space="preserve">선택</x:t>
        </x:is>
      </x:c>
      <x:c r="E21" s="72" t="inlineStr">
        <x:is>
          <x:t xml:space="preserve">빈 JSON 객체 또는 본문 없음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coverLetterId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자기소개서 ID</x:t>
        </x:is>
      </x:c>
    </x:row>
    <x:row r="26">
      <x:c r="A26" s="69" t="inlineStr">
        <x:is>
          <x:t xml:space="preserve">status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현재 처리/리소스 상태; 허용값: REVIEWING | REVIEWED</x:t>
        </x:is>
      </x:c>
    </x:row>
    <x:row r="27">
      <x:c r="A27" s="69" t="inlineStr">
        <x:is>
          <x:t xml:space="preserve">jobId</x:t>
        </x:is>
      </x:c>
      <x:c r="B27" s="47" t="inlineStr">
        <x:is>
          <x:t xml:space="preserve">string</x:t>
        </x:is>
      </x:c>
      <x:c r="C27" s="47" t="inlineStr">
        <x:is>
          <x:t xml:space="preserve">조건부/nullable</x:t>
        </x:is>
      </x:c>
      <x:c r="D27" s="70" t="inlineStr">
        <x:is>
          <x:t xml:space="preserve">LLM Job ID</x:t>
        </x:is>
      </x:c>
    </x:row>
    <x:row r="28">
      <x:c r="A28" s="71" t="inlineStr">
        <x:is>
          <x:t xml:space="preserve">latestReviewVersionId</x:t>
        </x:is>
      </x:c>
      <x:c r="B28" s="48" t="inlineStr">
        <x:is>
          <x:t xml:space="preserve">string</x:t>
        </x:is>
      </x:c>
      <x:c r="C28" s="48" t="inlineStr">
        <x:is>
          <x:t xml:space="preserve">조건부/nullable</x:t>
        </x:is>
      </x:c>
      <x:c r="D28" s="72" t="inlineStr">
        <x:is>
          <x:t xml:space="preserve">최신 첨삭 버전 ID</x:t>
        </x:is>
      </x:c>
    </x:row>
    <x:row r="30" ht="24" customHeight="1">
      <x:c r="A30" s="113" t="inlineStr">
        <x:is>
          <x:t xml:space="preserve">오류 응답</x:t>
        </x:is>
      </x:c>
      <x:c r="B30" s="106" t="n"/>
      <x:c r="C30" s="106" t="n"/>
      <x:c r="D30" s="106" t="n"/>
      <x:c r="E30" s="106" t="n"/>
      <x:c r="F30" s="106" t="n"/>
      <x:c r="G30" s="106" t="n"/>
      <x:c r="H30" s="106" t="n"/>
    </x:row>
    <x:row r="31">
      <x:c r="A31" s="9" t="inlineStr">
        <x:is>
          <x:t xml:space="preserve">HTTP 상태</x:t>
        </x:is>
      </x:c>
      <x:c r="B31" s="10" t="inlineStr">
        <x:is>
          <x:t xml:space="preserve">오류 코드</x:t>
        </x:is>
      </x:c>
      <x:c r="C31" s="10" t="inlineStr">
        <x:is>
          <x:t xml:space="preserve">발생 조건</x:t>
        </x:is>
      </x:c>
      <x:c r="D31" s="10" t="inlineStr">
        <x:is>
          <x:t xml:space="preserve">프론트 처리</x:t>
        </x:is>
      </x:c>
      <x:c r="E31" s="11" t="inlineStr">
        <x:is>
          <x:t xml:space="preserve">현재 상태</x:t>
        </x:is>
      </x:c>
    </x:row>
    <x:row r="32">
      <x:c r="A32" s="67" t="inlineStr">
        <x:is>
          <x:t xml:space="preserve">400 Bad Request</x:t>
        </x:is>
      </x:c>
      <x:c r="B32" s="46" t="inlineStr">
        <x:is>
          <x:t xml:space="preserve">VALIDATION_ERROR</x:t>
        </x:is>
      </x:c>
      <x:c r="C32" s="46" t="inlineStr">
        <x:is>
          <x:t xml:space="preserve">입력값이 올바르지 않습니다.</x:t>
        </x:is>
      </x:c>
      <x:c r="D32" s="46" t="inlineStr">
        <x:is>
          <x:t xml:space="preserve">error.details의 field/reason을 입력 항목에 표시</x:t>
        </x:is>
      </x:c>
      <x:c r="E32" s="68" t="inlineStr">
        <x:is>
          <x:t xml:space="preserve">현재 구현</x:t>
        </x:is>
      </x:c>
    </x:row>
    <x:row r="33">
      <x:c r="A33" s="69" t="inlineStr">
        <x:is>
          <x:t xml:space="preserve">409 Conflict</x:t>
        </x:is>
      </x:c>
      <x:c r="B33" s="47" t="inlineStr">
        <x:is>
          <x:t xml:space="preserve">LLM_JOB_ALREADY_RUNNING</x:t>
        </x:is>
      </x:c>
      <x:c r="C33" s="47" t="inlineStr">
        <x:is>
          <x:t xml:space="preserve">동일 자기소개서에 진행 중인 LLM 작업이 있음</x:t>
        </x:is>
      </x:c>
      <x:c r="D33" s="47" t="inlineStr">
        <x:is>
          <x:t xml:space="preserve">기존 Job 상태 조회 화면으로 이동</x:t>
        </x:is>
      </x:c>
      <x:c r="E33" s="70" t="inlineStr">
        <x:is>
          <x:t xml:space="preserve">현재 구현</x:t>
        </x:is>
      </x:c>
    </x:row>
    <x:row r="34">
      <x:c r="A34" s="69" t="inlineStr">
        <x:is>
          <x:t xml:space="preserve">401 Unauthorized</x:t>
        </x:is>
      </x:c>
      <x:c r="B34" s="47" t="inlineStr">
        <x:is>
          <x:t xml:space="preserve">UNAUTHORIZED</x:t>
        </x:is>
      </x:c>
      <x:c r="C34" s="47" t="inlineStr">
        <x:is>
          <x:t xml:space="preserve">인증 쿠키가 없거나 유효하지 않음</x:t>
        </x:is>
      </x:c>
      <x:c r="D34" s="47" t="inlineStr">
        <x:is>
          <x:t xml:space="preserve">로그인 화면으로 이동</x:t>
        </x:is>
      </x:c>
      <x:c r="E34" s="70" t="inlineStr">
        <x:is>
          <x:t xml:space="preserve">계약 정의·인증 미구현</x:t>
        </x:is>
      </x:c>
    </x:row>
    <x:row r="35">
      <x:c r="A35" s="69" t="inlineStr">
        <x:is>
          <x:t xml:space="preserve">403 Forbidden</x:t>
        </x:is>
      </x:c>
      <x:c r="B35" s="47" t="inlineStr">
        <x:is>
          <x:t xml:space="preserve">CSRF_INVALID</x:t>
        </x:is>
      </x:c>
      <x:c r="C35" s="47" t="inlineStr">
        <x:is>
          <x:t xml:space="preserve">CSRF 토큰이 없거나 일치하지 않음</x:t>
        </x:is>
      </x:c>
      <x:c r="D35" s="47" t="inlineStr">
        <x:is>
          <x:t xml:space="preserve">토큰 갱신 후 1회 재시도</x:t>
        </x:is>
      </x:c>
      <x:c r="E35" s="70" t="inlineStr">
        <x:is>
          <x:t xml:space="preserve">계약 정의·CSRF 미구현</x:t>
        </x:is>
      </x:c>
    </x:row>
    <x:row r="36">
      <x:c r="A36" s="69" t="inlineStr">
        <x:is>
          <x:t xml:space="preserve">404 Not Found</x:t>
        </x:is>
      </x:c>
      <x:c r="B36" s="47" t="inlineStr">
        <x:is>
          <x:t xml:space="preserve">NOT_FOUND</x:t>
        </x:is>
      </x:c>
      <x:c r="C36" s="47" t="inlineStr">
        <x:is>
          <x:t xml:space="preserve">대상이 없거나 접근 권한이 없음</x:t>
        </x:is>
      </x:c>
      <x:c r="D36" s="47" t="inlineStr">
        <x:is>
          <x:t xml:space="preserve">목록으로 이동하거나 삭제 상태 반영</x:t>
        </x:is>
      </x:c>
      <x:c r="E36" s="70" t="inlineStr">
        <x:is>
          <x:t xml:space="preserve">현재 구현</x:t>
        </x:is>
      </x:c>
    </x:row>
    <x:row r="37">
      <x:c r="A37" s="71" t="inlineStr">
        <x:is>
          <x:t xml:space="preserve">500 Internal Server Error</x:t>
        </x:is>
      </x:c>
      <x:c r="B37" s="48" t="inlineStr">
        <x:is>
          <x:t xml:space="preserve">INTERNAL_ERROR</x:t>
        </x:is>
      </x:c>
      <x:c r="C37" s="48" t="inlineStr">
        <x:is>
          <x:t xml:space="preserve">예상하지 못한 서버 오류</x:t>
        </x:is>
      </x:c>
      <x:c r="D37" s="48" t="inlineStr">
        <x:is>
          <x:t xml:space="preserve">재시도 안내 후 지속 시 오류 정보 전달</x:t>
        </x:is>
      </x:c>
      <x:c r="E37" s="72" t="inlineStr">
        <x:is>
          <x:t xml:space="preserve">현재 구현</x:t>
        </x:is>
      </x:c>
    </x:row>
  </x:sheetData>
  <x:mergeCells>
    <x:mergeCell ref="A4:H4"/>
    <x:mergeCell ref="A30:H30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275b7abc4c27405a"/>
    <x:tablePart xmlns:r="http://schemas.openxmlformats.org/officeDocument/2006/relationships" r:id="Rd1458fcb237e4850"/>
    <x:tablePart xmlns:r="http://schemas.openxmlformats.org/officeDocument/2006/relationships" r:id="Rc3cf8f18945943a1"/>
  </x:tableParts>
</x:worksheet>
</file>

<file path=xl/worksheets/sheet16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API-015  ·  LLM Job 상태 조회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/llm-jobs/{jobId}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/llm-jobs/{jobId}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LLM Job 상태 조회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46219.004155092596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/llm-jobs/job_01HZ...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322" customHeight="1">
      <x:c r="A14" s="115" t="inlineStr">
        <x:is>
          <x:t xml:space="preserve">HTTP/1.1 200 OK
Content-Type: application/json
{
  "id": "job_01HZ...",
  "type": "COVER_LETTER_REVIEW",
  "status": "PROCESSING",
  "targetType": "COVER_LETTER",
  "targetId": "cl_01HZ...",
  "progress": {
    "current": 1,
    "total": 3,
    "message": "1번 문항을 첨삭하고 있습니다."
  },
  "attempt": 1,
  "maxAttempts": 2,
  "partialResult": null,
  "resultRef": null,
  "error": null,
  "createdAt": "2026-06-20T14:10:00",
  "completedAt": null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jobId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LLM Job ID</x:t>
        </x:is>
      </x:c>
    </x:row>
    <x:row r="19">
      <x:c r="A19" s="71" t="inlineStr">
        <x:is>
          <x:t xml:space="preserve">cookie</x:t>
        </x:is>
      </x:c>
      <x:c r="B19" s="48" t="inlineStr">
        <x:is>
          <x:t xml:space="preserve">access_token</x:t>
        </x:is>
      </x:c>
      <x:c r="C19" s="48" t="inlineStr">
        <x:is>
          <x:t xml:space="preserve">string</x:t>
        </x:is>
      </x:c>
      <x:c r="D19" s="48" t="inlineStr">
        <x:is>
          <x:t xml:space="preserve">계약상 필수 (현재 미검증)</x:t>
        </x:is>
      </x:c>
      <x:c r="E19" s="72" t="inlineStr">
        <x:is>
          <x:t xml:space="preserve">현재 사용자 인증 cookie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67" t="inlineStr">
        <x:is>
          <x:t xml:space="preserve">id</x:t>
        </x:is>
      </x:c>
      <x:c r="B23" s="46" t="inlineStr">
        <x:is>
          <x:t xml:space="preserve">string</x:t>
        </x:is>
      </x:c>
      <x:c r="C23" s="46" t="inlineStr">
        <x:is>
          <x:t xml:space="preserve">필수</x:t>
        </x:is>
      </x:c>
      <x:c r="D23" s="68" t="inlineStr">
        <x:is>
          <x:t xml:space="preserve">리소스 고유 ID</x:t>
        </x:is>
      </x:c>
    </x:row>
    <x:row r="24">
      <x:c r="A24" s="69" t="inlineStr">
        <x:is>
          <x:t xml:space="preserve">type</x:t>
        </x:is>
      </x:c>
      <x:c r="B24" s="47" t="inlineStr">
        <x:is>
          <x:t xml:space="preserve">string</x:t>
        </x:is>
      </x:c>
      <x:c r="C24" s="47" t="inlineStr">
        <x:is>
          <x:t xml:space="preserve">필수</x:t>
        </x:is>
      </x:c>
      <x:c r="D24" s="70" t="str">
        <x:v>작업 또는 참조 유형; 허용값: COVER_LETTER_REVIEW | COVER_LETTER_RE_REVIEW | KEYWORD_ANALYSIS | INTERVIEW_INITIAL_QUESTION_GENERATION | INTERVIEW_ADDITIONAL_QUESTION_GENERATION | INTERVIEW_MESSAGE_FEEDBACK</x:v>
      </x:c>
    </x:row>
    <x:row r="25">
      <x:c r="A25" s="69" t="inlineStr">
        <x:is>
          <x:t xml:space="preserve">status</x:t>
        </x:is>
      </x:c>
      <x:c r="B25" s="47" t="inlineStr">
        <x:is>
          <x:t xml:space="preserve">string</x:t>
        </x:is>
      </x:c>
      <x:c r="C25" s="47" t="inlineStr">
        <x:is>
          <x:t xml:space="preserve">필수</x:t>
        </x:is>
      </x:c>
      <x:c r="D25" s="70" t="inlineStr">
        <x:is>
          <x:t xml:space="preserve">현재 처리/리소스 상태; 허용값: PENDING | PROCESSING | COMPLETED | FAILED | CANCELED. FAILED도 HTTP 200이며 error를 확인</x:t>
        </x:is>
      </x:c>
    </x:row>
    <x:row r="26">
      <x:c r="A26" s="69" t="inlineStr">
        <x:is>
          <x:t xml:space="preserve">targetType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작업 대상 리소스 유형; 현재 허용값: COVER_LETTER</x:t>
        </x:is>
      </x:c>
    </x:row>
    <x:row r="27">
      <x:c r="A27" s="69" t="inlineStr">
        <x:is>
          <x:t xml:space="preserve">targetId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작업 대상 리소스 ID</x:t>
        </x:is>
      </x:c>
    </x:row>
    <x:row r="28">
      <x:c r="A28" s="69" t="inlineStr">
        <x:is>
          <x:t xml:space="preserve">progress</x:t>
        </x:is>
      </x:c>
      <x:c r="B28" s="47" t="inlineStr">
        <x:is>
          <x:t xml:space="preserve">object</x:t>
        </x:is>
      </x:c>
      <x:c r="C28" s="47" t="inlineStr">
        <x:is>
          <x:t xml:space="preserve">필수</x:t>
        </x:is>
      </x:c>
      <x:c r="D28" s="70" t="inlineStr">
        <x:is>
          <x:t xml:space="preserve">작업 진행 정보</x:t>
        </x:is>
      </x:c>
    </x:row>
    <x:row r="29">
      <x:c r="A29" s="69" t="inlineStr">
        <x:is>
          <x:t xml:space="preserve">progress.current</x:t>
        </x:is>
      </x:c>
      <x:c r="B29" s="47" t="inlineStr">
        <x:is>
          <x:t xml:space="preserve">integer</x:t>
        </x:is>
      </x:c>
      <x:c r="C29" s="47" t="inlineStr">
        <x:is>
          <x:t xml:space="preserve">필수</x:t>
        </x:is>
      </x:c>
      <x:c r="D29" s="70" t="inlineStr">
        <x:is>
          <x:t xml:space="preserve">현재 처리 완료 단위</x:t>
        </x:is>
      </x:c>
    </x:row>
    <x:row r="30">
      <x:c r="A30" s="69" t="inlineStr">
        <x:is>
          <x:t xml:space="preserve">progress.total</x:t>
        </x:is>
      </x:c>
      <x:c r="B30" s="47" t="inlineStr">
        <x:is>
          <x:t xml:space="preserve">integer</x:t>
        </x:is>
      </x:c>
      <x:c r="C30" s="47" t="inlineStr">
        <x:is>
          <x:t xml:space="preserve">필수</x:t>
        </x:is>
      </x:c>
      <x:c r="D30" s="70" t="inlineStr">
        <x:is>
          <x:t xml:space="preserve">전체 처리 단위</x:t>
        </x:is>
      </x:c>
    </x:row>
    <x:row r="31">
      <x:c r="A31" s="69" t="inlineStr">
        <x:is>
          <x:t xml:space="preserve">progress.message</x:t>
        </x:is>
      </x:c>
      <x:c r="B31" s="47" t="inlineStr">
        <x:is>
          <x:t xml:space="preserve">string</x:t>
        </x:is>
      </x:c>
      <x:c r="C31" s="47" t="inlineStr">
        <x:is>
          <x:t xml:space="preserve">조건부/nullable</x:t>
        </x:is>
      </x:c>
      <x:c r="D31" s="70" t="inlineStr">
        <x:is>
          <x:t xml:space="preserve">사용자 표시 메시지</x:t>
        </x:is>
      </x:c>
    </x:row>
    <x:row r="32">
      <x:c r="A32" s="69" t="inlineStr">
        <x:is>
          <x:t xml:space="preserve">attempt</x:t>
        </x:is>
      </x:c>
      <x:c r="B32" s="47" t="inlineStr">
        <x:is>
          <x:t xml:space="preserve">integer</x:t>
        </x:is>
      </x:c>
      <x:c r="C32" s="47" t="inlineStr">
        <x:is>
          <x:t xml:space="preserve">필수</x:t>
        </x:is>
      </x:c>
      <x:c r="D32" s="70" t="inlineStr">
        <x:is>
          <x:t xml:space="preserve">현재 시도 횟수</x:t>
        </x:is>
      </x:c>
    </x:row>
    <x:row r="33">
      <x:c r="A33" s="69" t="inlineStr">
        <x:is>
          <x:t xml:space="preserve">maxAttempts</x:t>
        </x:is>
      </x:c>
      <x:c r="B33" s="47" t="inlineStr">
        <x:is>
          <x:t xml:space="preserve">integer</x:t>
        </x:is>
      </x:c>
      <x:c r="C33" s="47" t="inlineStr">
        <x:is>
          <x:t xml:space="preserve">필수</x:t>
        </x:is>
      </x:c>
      <x:c r="D33" s="70" t="inlineStr">
        <x:is>
          <x:t xml:space="preserve">최대 시도 횟수</x:t>
        </x:is>
      </x:c>
    </x:row>
    <x:row r="34">
      <x:c r="A34" s="69" t="inlineStr">
        <x:is>
          <x:t xml:space="preserve">partialResult</x:t>
        </x:is>
      </x:c>
      <x:c r="B34" s="47" t="inlineStr">
        <x:is>
          <x:t xml:space="preserve">nullable</x:t>
        </x:is>
      </x:c>
      <x:c r="C34" s="47" t="inlineStr">
        <x:is>
          <x:t xml:space="preserve">조건부/nullable</x:t>
        </x:is>
      </x:c>
      <x:c r="D34" s="70" t="inlineStr">
        <x:is>
          <x:t xml:space="preserve">진행 중 부분 결과; 저장소 미구현 시 null</x:t>
        </x:is>
      </x:c>
    </x:row>
    <x:row r="35">
      <x:c r="A35" s="69" t="inlineStr">
        <x:is>
          <x:t xml:space="preserve">resultRef</x:t>
        </x:is>
      </x:c>
      <x:c r="B35" s="47" t="inlineStr">
        <x:is>
          <x:t xml:space="preserve">object</x:t>
        </x:is>
      </x:c>
      <x:c r="C35" s="47" t="inlineStr">
        <x:is>
          <x:t xml:space="preserve">조건부/nullable</x:t>
        </x:is>
      </x:c>
      <x:c r="D35" s="70" t="inlineStr">
        <x:is>
          <x:t xml:space="preserve">완료 결과 리소스 참조</x:t>
        </x:is>
      </x:c>
    </x:row>
    <x:row r="36">
      <x:c r="A36" s="69" t="inlineStr">
        <x:is>
          <x:t xml:space="preserve">error</x:t>
        </x:is>
      </x:c>
      <x:c r="B36" s="47" t="inlineStr">
        <x:is>
          <x:t xml:space="preserve">object</x:t>
        </x:is>
      </x:c>
      <x:c r="C36" s="47" t="inlineStr">
        <x:is>
          <x:t xml:space="preserve">조건부/nullable</x:t>
        </x:is>
      </x:c>
      <x:c r="D36" s="70" t="inlineStr">
        <x:is>
          <x:t xml:space="preserve">오류 정보; 정상일 때 null; FAILED 상태의 Job 오류 payload; HTTP 상태는 200</x:t>
        </x:is>
      </x:c>
    </x:row>
    <x:row r="37">
      <x:c r="A37" s="69" t="inlineStr">
        <x:is>
          <x:t xml:space="preserve">createdAt</x:t>
        </x:is>
      </x:c>
      <x:c r="B37" s="47" t="inlineStr">
        <x:is>
          <x:t xml:space="preserve">string</x:t>
        </x:is>
      </x:c>
      <x:c r="C37" s="47" t="inlineStr">
        <x:is>
          <x:t xml:space="preserve">필수</x:t>
        </x:is>
      </x:c>
      <x:c r="D37" s="70" t="inlineStr">
        <x:is>
          <x:t xml:space="preserve">생성 일시</x:t>
        </x:is>
      </x:c>
    </x:row>
    <x:row r="38">
      <x:c r="A38" s="69" t="inlineStr">
        <x:is>
          <x:t xml:space="preserve">completedAt</x:t>
        </x:is>
      </x:c>
      <x:c r="B38" s="47" t="inlineStr">
        <x:is>
          <x:t xml:space="preserve">string</x:t>
        </x:is>
      </x:c>
      <x:c r="C38" s="47" t="inlineStr">
        <x:is>
          <x:t xml:space="preserve">조건부/nullable</x:t>
        </x:is>
      </x:c>
      <x:c r="D38" s="70" t="inlineStr">
        <x:is>
          <x:t xml:space="preserve">작업 완료 일시</x:t>
        </x:is>
      </x:c>
    </x:row>
    <x:row r="39">
      <x:c r="A39" s="69" t="inlineStr">
        <x:is>
          <x:t xml:space="preserve">resultRef.type</x:t>
        </x:is>
      </x:c>
      <x:c r="B39" s="47" t="inlineStr">
        <x:is>
          <x:t xml:space="preserve">string</x:t>
        </x:is>
      </x:c>
      <x:c r="C39" s="47" t="inlineStr">
        <x:is>
          <x:t xml:space="preserve">부모 객체 존재 시 필수</x:t>
        </x:is>
      </x:c>
      <x:c r="D39" s="70" t="inlineStr">
        <x:is>
          <x:t xml:space="preserve">작업 또는 참조 유형; 허용값: REVIEW_VERSION | KEYWORD_ANALYSIS | INTERVIEW_SESSION | INTERVIEW_QUESTION | INTERVIEW_MESSAGE</x:t>
        </x:is>
      </x:c>
    </x:row>
    <x:row r="40">
      <x:c r="A40" s="69" t="inlineStr">
        <x:is>
          <x:t xml:space="preserve">resultRef.id</x:t>
        </x:is>
      </x:c>
      <x:c r="B40" s="47" t="inlineStr">
        <x:is>
          <x:t xml:space="preserve">string</x:t>
        </x:is>
      </x:c>
      <x:c r="C40" s="47" t="inlineStr">
        <x:is>
          <x:t xml:space="preserve">부모 객체 존재 시 필수</x:t>
        </x:is>
      </x:c>
      <x:c r="D40" s="70" t="inlineStr">
        <x:is>
          <x:t xml:space="preserve">리소스 고유 ID</x:t>
        </x:is>
      </x:c>
    </x:row>
    <x:row r="41">
      <x:c r="A41" s="69" t="inlineStr">
        <x:is>
          <x:t xml:space="preserve">error.code</x:t>
        </x:is>
      </x:c>
      <x:c r="B41" s="47" t="inlineStr">
        <x:is>
          <x:t xml:space="preserve">string</x:t>
        </x:is>
      </x:c>
      <x:c r="C41" s="47" t="inlineStr">
        <x:is>
          <x:t xml:space="preserve">부모 객체 존재 시 필수</x:t>
        </x:is>
      </x:c>
      <x:c r="D41" s="70" t="inlineStr">
        <x:is>
          <x:t xml:space="preserve">기계 판독용 오류 코드; 허용값: LLM_PROVIDER_TIMEOUT | LLM_PROVIDER_UNAVAILABLE | LLM_PROVIDER_RATE_LIMITED | LLM_CONTEXT_LENGTH_EXCEEDED | LLM_CONTENT_FILTERED | LLM_OUTPUT_VALIDATION_FAILED | LLM_PROVIDER_ERROR</x:t>
        </x:is>
      </x:c>
    </x:row>
    <x:row r="42">
      <x:c r="A42" s="71" t="inlineStr">
        <x:is>
          <x:t xml:space="preserve">error.message</x:t>
        </x:is>
      </x:c>
      <x:c r="B42" s="48" t="inlineStr">
        <x:is>
          <x:t xml:space="preserve">string</x:t>
        </x:is>
      </x:c>
      <x:c r="C42" s="48" t="inlineStr">
        <x:is>
          <x:t xml:space="preserve">부모 객체 존재 시 필수</x:t>
        </x:is>
      </x:c>
      <x:c r="D42" s="72" t="inlineStr">
        <x:is>
          <x:t xml:space="preserve">디버깅용 메시지; 사용자에게 직접 노출 금지</x:t>
        </x:is>
      </x:c>
    </x:row>
    <x:row r="44" ht="24" customHeight="1">
      <x:c r="A44" s="113" t="inlineStr">
        <x:is>
          <x:t xml:space="preserve">오류 응답</x:t>
        </x:is>
      </x:c>
      <x:c r="B44" s="106" t="n"/>
      <x:c r="C44" s="106" t="n"/>
      <x:c r="D44" s="106" t="n"/>
      <x:c r="E44" s="106" t="n"/>
      <x:c r="F44" s="106" t="n"/>
      <x:c r="G44" s="106" t="n"/>
      <x:c r="H44" s="106" t="n"/>
    </x:row>
    <x:row r="45">
      <x:c r="A45" s="9" t="inlineStr">
        <x:is>
          <x:t xml:space="preserve">HTTP 상태</x:t>
        </x:is>
      </x:c>
      <x:c r="B45" s="10" t="inlineStr">
        <x:is>
          <x:t xml:space="preserve">오류 코드</x:t>
        </x:is>
      </x:c>
      <x:c r="C45" s="10" t="inlineStr">
        <x:is>
          <x:t xml:space="preserve">발생 조건</x:t>
        </x:is>
      </x:c>
      <x:c r="D45" s="10" t="inlineStr">
        <x:is>
          <x:t xml:space="preserve">프론트 처리</x:t>
        </x:is>
      </x:c>
      <x:c r="E45" s="11" t="inlineStr">
        <x:is>
          <x:t xml:space="preserve">현재 상태</x:t>
        </x:is>
      </x:c>
    </x:row>
    <x:row r="46">
      <x:c r="A46" s="67" t="inlineStr">
        <x:is>
          <x:t xml:space="preserve">404 Not Found</x:t>
        </x:is>
      </x:c>
      <x:c r="B46" s="46" t="inlineStr">
        <x:is>
          <x:t xml:space="preserve">NOT_FOUND</x:t>
        </x:is>
      </x:c>
      <x:c r="C46" s="46" t="inlineStr">
        <x:is>
          <x:t xml:space="preserve">대상이 없거나 접근 권한이 없음</x:t>
        </x:is>
      </x:c>
      <x:c r="D46" s="46" t="inlineStr">
        <x:is>
          <x:t xml:space="preserve">목록으로 이동하거나 삭제 상태 반영</x:t>
        </x:is>
      </x:c>
      <x:c r="E46" s="68" t="inlineStr">
        <x:is>
          <x:t xml:space="preserve">현재 구현</x:t>
        </x:is>
      </x:c>
    </x:row>
    <x:row r="47">
      <x:c r="A47" s="69" t="inlineStr">
        <x:is>
          <x:t xml:space="preserve">401 Unauthorized</x:t>
        </x:is>
      </x:c>
      <x:c r="B47" s="47" t="inlineStr">
        <x:is>
          <x:t xml:space="preserve">UNAUTHORIZED</x:t>
        </x:is>
      </x:c>
      <x:c r="C47" s="47" t="inlineStr">
        <x:is>
          <x:t xml:space="preserve">인증 쿠키가 없거나 유효하지 않음</x:t>
        </x:is>
      </x:c>
      <x:c r="D47" s="47" t="inlineStr">
        <x:is>
          <x:t xml:space="preserve">로그인 화면으로 이동</x:t>
        </x:is>
      </x:c>
      <x:c r="E47" s="70" t="inlineStr">
        <x:is>
          <x:t xml:space="preserve">계약 정의·인증 미구현</x:t>
        </x:is>
      </x:c>
    </x:row>
    <x:row r="48">
      <x:c r="A48" s="71" t="inlineStr">
        <x:is>
          <x:t xml:space="preserve">500 Internal Server Error</x:t>
        </x:is>
      </x:c>
      <x:c r="B48" s="48" t="inlineStr">
        <x:is>
          <x:t xml:space="preserve">INTERNAL_ERROR</x:t>
        </x:is>
      </x:c>
      <x:c r="C48" s="48" t="inlineStr">
        <x:is>
          <x:t xml:space="preserve">예상하지 못한 서버 오류</x:t>
        </x:is>
      </x:c>
      <x:c r="D48" s="48" t="inlineStr">
        <x:is>
          <x:t xml:space="preserve">재시도 안내 후 지속 시 오류 정보 전달</x:t>
        </x:is>
      </x:c>
      <x:c r="E48" s="72" t="inlineStr">
        <x:is>
          <x:t xml:space="preserve">현재 구현</x:t>
        </x:is>
      </x:c>
    </x:row>
  </x:sheetData>
  <x:mergeCells>
    <x:mergeCell ref="A4:H4"/>
    <x:mergeCell ref="A21:H21"/>
    <x:mergeCell ref="A16:H16"/>
    <x:mergeCell ref="A10:H10"/>
    <x:mergeCell ref="B2:H2"/>
    <x:mergeCell ref="A11:H11"/>
    <x:mergeCell ref="A13:H13"/>
    <x:mergeCell ref="A14:H14"/>
    <x:mergeCell ref="A1:H1"/>
    <x:mergeCell ref="A44:H44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88ac6ca2935642a3"/>
    <x:tablePart xmlns:r="http://schemas.openxmlformats.org/officeDocument/2006/relationships" r:id="R33878d4e8750438a"/>
    <x:tablePart xmlns:r="http://schemas.openxmlformats.org/officeDocument/2006/relationships" r:id="R2d78808fa6004a05"/>
  </x:tableParts>
</x:worksheet>
</file>

<file path=xl/worksheets/sheet17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API-016  ·  SSE 스트리밍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/llm-jobs/{jobId}/stream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/llm-jobs/{jobId}/stream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미구현·호출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SSE 스트리밍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/llm-jobs/job_01HZ.../stream HTTP/1.1
Accept: text/event-stream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26" customHeight="1">
      <x:c r="A14" s="115" t="inlineStr">
        <x:is>
          <x:t xml:space="preserve">HTTP/1.1 200 OK
Content-Type: text/event-stream
event: job.started
data: {"jobId":"job_01HZ...","type":"COVER_LETTER_REVIEW"}
event: job.completed
data: {"jobId":"job_01HZ...","resultRef":{"type":"REVIEW_VERSION","id":"rv_01HZ..."}}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jobId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LLM Job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71" t="inlineStr">
        <x:is>
          <x:t xml:space="preserve">header</x:t>
        </x:is>
      </x:c>
      <x:c r="B20" s="48" t="inlineStr">
        <x:is>
          <x:t xml:space="preserve">Last-Event-ID</x:t>
        </x:is>
      </x:c>
      <x:c r="C20" s="48" t="inlineStr">
        <x:is>
          <x:t xml:space="preserve">string</x:t>
        </x:is>
      </x:c>
      <x:c r="D20" s="48" t="inlineStr">
        <x:is>
          <x:t xml:space="preserve">미지원</x:t>
        </x:is>
      </x:c>
      <x:c r="E20" s="72" t="inlineStr">
        <x:is>
          <x:t xml:space="preserve">이벤트 replay를 지원하지 않음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67" t="inlineStr">
        <x:is>
          <x:t xml:space="preserve">event</x:t>
        </x:is>
      </x:c>
      <x:c r="B24" s="46" t="inlineStr">
        <x:is>
          <x:t xml:space="preserve">SSE event</x:t>
        </x:is>
      </x:c>
      <x:c r="C24" s="46" t="inlineStr">
        <x:is>
          <x:t xml:space="preserve">조건부</x:t>
        </x:is>
      </x:c>
      <x:c r="D24" s="68" t="inlineStr">
        <x:is>
          <x:t xml:space="preserve">작업 진행/완료/실패 이벤트</x:t>
        </x:is>
      </x:c>
    </x:row>
    <x:row r="25">
      <x:c r="A25" s="71" t="inlineStr">
        <x:is>
          <x:t xml:space="preserve">data</x:t>
        </x:is>
      </x:c>
      <x:c r="B25" s="48" t="inlineStr">
        <x:is>
          <x:t xml:space="preserve">JSON</x:t>
        </x:is>
      </x:c>
      <x:c r="C25" s="48" t="inlineStr">
        <x:is>
          <x:t xml:space="preserve">조건부</x:t>
        </x:is>
      </x:c>
      <x:c r="D25" s="72" t="inlineStr">
        <x:is>
          <x:t xml:space="preserve">이벤트별 데이터 payload</x:t>
        </x:is>
      </x:c>
    </x:row>
    <x:row r="27" ht="24" customHeight="1">
      <x:c r="A27" s="113" t="inlineStr">
        <x:is>
          <x:t xml:space="preserve">오류 응답</x:t>
        </x:is>
      </x:c>
      <x:c r="B27" s="106" t="n"/>
      <x:c r="C27" s="106" t="n"/>
      <x:c r="D27" s="106" t="n"/>
      <x:c r="E27" s="106" t="n"/>
      <x:c r="F27" s="106" t="n"/>
      <x:c r="G27" s="106" t="n"/>
      <x:c r="H27" s="106" t="n"/>
    </x:row>
    <x:row r="28">
      <x:c r="A28" s="9" t="inlineStr">
        <x:is>
          <x:t xml:space="preserve">HTTP 상태</x:t>
        </x:is>
      </x:c>
      <x:c r="B28" s="10" t="inlineStr">
        <x:is>
          <x:t xml:space="preserve">오류 코드</x:t>
        </x:is>
      </x:c>
      <x:c r="C28" s="10" t="inlineStr">
        <x:is>
          <x:t xml:space="preserve">발생 조건</x:t>
        </x:is>
      </x:c>
      <x:c r="D28" s="10" t="inlineStr">
        <x:is>
          <x:t xml:space="preserve">프론트 처리</x:t>
        </x:is>
      </x:c>
      <x:c r="E28" s="11" t="inlineStr">
        <x:is>
          <x:t xml:space="preserve">현재 상태</x:t>
        </x:is>
      </x:c>
    </x:row>
    <x:row r="29">
      <x:c r="A29" s="67" t="inlineStr">
        <x:is>
          <x:t xml:space="preserve">401 Unauthorized</x:t>
        </x:is>
      </x:c>
      <x:c r="B29" s="46" t="inlineStr">
        <x:is>
          <x:t xml:space="preserve">UNAUTHORIZED</x:t>
        </x:is>
      </x:c>
      <x:c r="C29" s="46" t="inlineStr">
        <x:is>
          <x:t xml:space="preserve">인증 쿠키가 없거나 유효하지 않음</x:t>
        </x:is>
      </x:c>
      <x:c r="D29" s="46" t="inlineStr">
        <x:is>
          <x:t xml:space="preserve">로그인 화면으로 이동</x:t>
        </x:is>
      </x:c>
      <x:c r="E29" s="68" t="inlineStr">
        <x:is>
          <x:t xml:space="preserve">계약 정의·인증 미구현</x:t>
        </x:is>
      </x:c>
    </x:row>
    <x:row r="30">
      <x:c r="A30" s="69" t="inlineStr">
        <x:is>
          <x:t xml:space="preserve">404 Not Found</x:t>
        </x:is>
      </x:c>
      <x:c r="B30" s="47" t="inlineStr">
        <x:is>
          <x:t xml:space="preserve">NOT_FOUND</x:t>
        </x:is>
      </x:c>
      <x:c r="C30" s="47" t="inlineStr">
        <x:is>
          <x:t xml:space="preserve">대상이 없거나 접근 권한이 없음</x:t>
        </x:is>
      </x:c>
      <x:c r="D30" s="47" t="inlineStr">
        <x:is>
          <x:t xml:space="preserve">목록으로 이동하거나 삭제 상태 반영</x:t>
        </x:is>
      </x:c>
      <x:c r="E30" s="70" t="inlineStr">
        <x:is>
          <x:t xml:space="preserve">현재 구현</x:t>
        </x:is>
      </x:c>
    </x:row>
    <x:row r="31">
      <x:c r="A31" s="71" t="inlineStr">
        <x:is>
          <x:t xml:space="preserve">500 Internal Server Error</x:t>
        </x:is>
      </x:c>
      <x:c r="B31" s="48" t="inlineStr">
        <x:is>
          <x:t xml:space="preserve">INTERNAL_ERROR</x:t>
        </x:is>
      </x:c>
      <x:c r="C31" s="48" t="inlineStr">
        <x:is>
          <x:t xml:space="preserve">예상하지 못한 서버 오류</x:t>
        </x:is>
      </x:c>
      <x:c r="D31" s="48" t="inlineStr">
        <x:is>
          <x:t xml:space="preserve">재시도 안내 후 지속 시 오류 정보 전달</x:t>
        </x:is>
      </x:c>
      <x:c r="E31" s="72" t="inlineStr">
        <x:is>
          <x:t xml:space="preserve">현재 구현</x:t>
        </x:is>
      </x:c>
    </x:row>
  </x:sheetData>
  <x:mergeCells>
    <x:mergeCell ref="A4:H4"/>
    <x:mergeCell ref="A16:H16"/>
    <x:mergeCell ref="A10:H10"/>
    <x:mergeCell ref="B2:H2"/>
    <x:mergeCell ref="A11:H11"/>
    <x:mergeCell ref="A13:H13"/>
    <x:mergeCell ref="A14:H14"/>
    <x:mergeCell ref="A1:H1"/>
    <x:mergeCell ref="A27:H27"/>
    <x:mergeCell ref="A22:H22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4c31f0fcd9014877"/>
    <x:tablePart xmlns:r="http://schemas.openxmlformats.org/officeDocument/2006/relationships" r:id="Rf05fc94c9a68411f"/>
    <x:tablePart xmlns:r="http://schemas.openxmlformats.org/officeDocument/2006/relationships" r:id="Re2eca36a1e104b28"/>
  </x:tableParts>
</x:worksheet>
</file>

<file path=xl/worksheets/sheet18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API-017  ·  첨삭 버전 목록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/cover-letters/{coverLetterId}/review-versions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/cover-letters/{coverLetterId}/review-versions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첨삭 버전 목록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/cover-letters/cl_01HZ.../review-versions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280" customHeight="1">
      <x:c r="A14" s="115" t="inlineStr">
        <x:is>
          <x:t xml:space="preserve">HTTP/1.1 200 OK
Content-Type: application/json
{
  "items": [
    {
      "id": "rv_01HZ...",
      "version": "v0.2",
      "isLatest": true,
      "createdAt": "2026-06-20T14:31:00"
    },
    {
      "id": "rv_01HY...",
      "version": "v0.1",
      "isLatest": false,
      "createdAt": "2026-06-20T14:11:00"
    }
  ]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71" t="inlineStr">
        <x:is>
          <x:t xml:space="preserve">cookie</x:t>
        </x:is>
      </x:c>
      <x:c r="B19" s="48" t="inlineStr">
        <x:is>
          <x:t xml:space="preserve">access_token</x:t>
        </x:is>
      </x:c>
      <x:c r="C19" s="48" t="inlineStr">
        <x:is>
          <x:t xml:space="preserve">string</x:t>
        </x:is>
      </x:c>
      <x:c r="D19" s="48" t="inlineStr">
        <x:is>
          <x:t xml:space="preserve">계약상 필수 (현재 미검증)</x:t>
        </x:is>
      </x:c>
      <x:c r="E19" s="72" t="inlineStr">
        <x:is>
          <x:t xml:space="preserve">현재 사용자 인증 cookie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67" t="inlineStr">
        <x:is>
          <x:t xml:space="preserve">items</x:t>
        </x:is>
      </x:c>
      <x:c r="B23" s="46" t="inlineStr">
        <x:is>
          <x:t xml:space="preserve">array</x:t>
        </x:is>
      </x:c>
      <x:c r="C23" s="46" t="inlineStr">
        <x:is>
          <x:t xml:space="preserve">필수</x:t>
        </x:is>
      </x:c>
      <x:c r="D23" s="68" t="inlineStr">
        <x:is>
          <x:t xml:space="preserve">목록 항목 배열</x:t>
        </x:is>
      </x:c>
    </x:row>
    <x:row r="24">
      <x:c r="A24" s="69" t="inlineStr">
        <x:is>
          <x:t xml:space="preserve">items[].id</x:t>
        </x:is>
      </x:c>
      <x:c r="B24" s="47" t="inlineStr">
        <x:is>
          <x:t xml:space="preserve">string</x:t>
        </x:is>
      </x:c>
      <x:c r="C24" s="47" t="inlineStr">
        <x:is>
          <x:t xml:space="preserve">필수</x:t>
        </x:is>
      </x:c>
      <x:c r="D24" s="70" t="inlineStr">
        <x:is>
          <x:t xml:space="preserve">리소스 고유 ID</x:t>
        </x:is>
      </x:c>
    </x:row>
    <x:row r="25">
      <x:c r="A25" s="69" t="inlineStr">
        <x:is>
          <x:t xml:space="preserve">items[].version</x:t>
        </x:is>
      </x:c>
      <x:c r="B25" s="47" t="inlineStr">
        <x:is>
          <x:t xml:space="preserve">string</x:t>
        </x:is>
      </x:c>
      <x:c r="C25" s="47" t="inlineStr">
        <x:is>
          <x:t xml:space="preserve">필수</x:t>
        </x:is>
      </x:c>
      <x:c r="D25" s="70" t="inlineStr">
        <x:is>
          <x:t xml:space="preserve">표시용 첨삭 버전</x:t>
        </x:is>
      </x:c>
    </x:row>
    <x:row r="26">
      <x:c r="A26" s="69" t="inlineStr">
        <x:is>
          <x:t xml:space="preserve">items[].isLatest</x:t>
        </x:is>
      </x:c>
      <x:c r="B26" s="47" t="inlineStr">
        <x:is>
          <x:t xml:space="preserve">boolean</x:t>
        </x:is>
      </x:c>
      <x:c r="C26" s="47" t="inlineStr">
        <x:is>
          <x:t xml:space="preserve">필수</x:t>
        </x:is>
      </x:c>
      <x:c r="D26" s="70" t="inlineStr">
        <x:is>
          <x:t xml:space="preserve">최신 첨삭 버전 여부</x:t>
        </x:is>
      </x:c>
    </x:row>
    <x:row r="27">
      <x:c r="A27" s="71" t="inlineStr">
        <x:is>
          <x:t xml:space="preserve">items[].createdAt</x:t>
        </x:is>
      </x:c>
      <x:c r="B27" s="48" t="inlineStr">
        <x:is>
          <x:t xml:space="preserve">string</x:t>
        </x:is>
      </x:c>
      <x:c r="C27" s="48" t="inlineStr">
        <x:is>
          <x:t xml:space="preserve">필수</x:t>
        </x:is>
      </x:c>
      <x:c r="D27" s="72" t="inlineStr">
        <x:is>
          <x:t xml:space="preserve">생성 일시</x:t>
        </x:is>
      </x:c>
    </x:row>
    <x:row r="29" ht="24" customHeight="1">
      <x:c r="A29" s="113" t="inlineStr">
        <x:is>
          <x:t xml:space="preserve">오류 응답</x:t>
        </x:is>
      </x:c>
      <x:c r="B29" s="106" t="n"/>
      <x:c r="C29" s="106" t="n"/>
      <x:c r="D29" s="106" t="n"/>
      <x:c r="E29" s="106" t="n"/>
      <x:c r="F29" s="106" t="n"/>
      <x:c r="G29" s="106" t="n"/>
      <x:c r="H29" s="106" t="n"/>
    </x:row>
    <x:row r="30">
      <x:c r="A30" s="9" t="inlineStr">
        <x:is>
          <x:t xml:space="preserve">HTTP 상태</x:t>
        </x:is>
      </x:c>
      <x:c r="B30" s="10" t="inlineStr">
        <x:is>
          <x:t xml:space="preserve">오류 코드</x:t>
        </x:is>
      </x:c>
      <x:c r="C30" s="10" t="inlineStr">
        <x:is>
          <x:t xml:space="preserve">발생 조건</x:t>
        </x:is>
      </x:c>
      <x:c r="D30" s="10" t="inlineStr">
        <x:is>
          <x:t xml:space="preserve">프론트 처리</x:t>
        </x:is>
      </x:c>
      <x:c r="E30" s="11" t="inlineStr">
        <x:is>
          <x:t xml:space="preserve">현재 상태</x:t>
        </x:is>
      </x:c>
    </x:row>
    <x:row r="31">
      <x:c r="A31" s="67" t="inlineStr">
        <x:is>
          <x:t xml:space="preserve">401 Unauthorized</x:t>
        </x:is>
      </x:c>
      <x:c r="B31" s="46" t="inlineStr">
        <x:is>
          <x:t xml:space="preserve">UNAUTHORIZED</x:t>
        </x:is>
      </x:c>
      <x:c r="C31" s="46" t="inlineStr">
        <x:is>
          <x:t xml:space="preserve">인증 쿠키가 없거나 유효하지 않음</x:t>
        </x:is>
      </x:c>
      <x:c r="D31" s="46" t="inlineStr">
        <x:is>
          <x:t xml:space="preserve">로그인 화면으로 이동</x:t>
        </x:is>
      </x:c>
      <x:c r="E31" s="68" t="inlineStr">
        <x:is>
          <x:t xml:space="preserve">계약 정의·인증 미구현</x:t>
        </x:is>
      </x:c>
    </x:row>
    <x:row r="32">
      <x:c r="A32" s="69" t="inlineStr">
        <x:is>
          <x:t xml:space="preserve">404 Not Found</x:t>
        </x:is>
      </x:c>
      <x:c r="B32" s="47" t="inlineStr">
        <x:is>
          <x:t xml:space="preserve">NOT_FOUND</x:t>
        </x:is>
      </x:c>
      <x:c r="C32" s="47" t="inlineStr">
        <x:is>
          <x:t xml:space="preserve">대상이 없거나 접근 권한이 없음</x:t>
        </x:is>
      </x:c>
      <x:c r="D32" s="47" t="inlineStr">
        <x:is>
          <x:t xml:space="preserve">목록으로 이동하거나 삭제 상태 반영</x:t>
        </x:is>
      </x:c>
      <x:c r="E32" s="70" t="inlineStr">
        <x:is>
          <x:t xml:space="preserve">현재 구현</x:t>
        </x:is>
      </x:c>
    </x:row>
    <x:row r="33">
      <x:c r="A33" s="71" t="inlineStr">
        <x:is>
          <x:t xml:space="preserve">500 Internal Server Error</x:t>
        </x:is>
      </x:c>
      <x:c r="B33" s="48" t="inlineStr">
        <x:is>
          <x:t xml:space="preserve">INTERNAL_ERROR</x:t>
        </x:is>
      </x:c>
      <x:c r="C33" s="48" t="inlineStr">
        <x:is>
          <x:t xml:space="preserve">예상하지 못한 서버 오류</x:t>
        </x:is>
      </x:c>
      <x:c r="D33" s="48" t="inlineStr">
        <x:is>
          <x:t xml:space="preserve">재시도 안내 후 지속 시 오류 정보 전달</x:t>
        </x:is>
      </x:c>
      <x:c r="E33" s="72" t="inlineStr">
        <x:is>
          <x:t xml:space="preserve">현재 구현</x:t>
        </x:is>
      </x:c>
    </x:row>
  </x:sheetData>
  <x:mergeCells>
    <x:mergeCell ref="A4:H4"/>
    <x:mergeCell ref="A21:H21"/>
    <x:mergeCell ref="A29:H29"/>
    <x:mergeCell ref="A16:H16"/>
    <x:mergeCell ref="A10:H10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2c098c03c9e3497d"/>
    <x:tablePart xmlns:r="http://schemas.openxmlformats.org/officeDocument/2006/relationships" r:id="R159ba23898b84bb9"/>
    <x:tablePart xmlns:r="http://schemas.openxmlformats.org/officeDocument/2006/relationships" r:id="Rf23a8465e34c401e"/>
  </x:tableParts>
</x:worksheet>
</file>

<file path=xl/worksheets/sheet19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API-018  ·  첨삭 버전 상세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/cover-letters/{coverLetterId}/review-versions/{versionId}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/cover-letters/{coverLetterId}/review-versions/{versionId}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첨삭 버전 상세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/cover-letters/cl_01HZ.../review-versions/rv_01HZ...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364" customHeight="1">
      <x:c r="A14" s="115" t="inlineStr">
        <x:is>
          <x:t xml:space="preserve">HTTP/1.1 200 OK
Content-Type: application/json
{
  "id": "rv_01HZ...",
  "coverLetterId": "cl_01HZ...",
  "version": "v0.1",
  "isLatest": true,
  "requestInstruction": null,
  "createdAt": "2026-06-20T14:11:00",
  "questionResults": [
    {
      "questionResultId": "rvqr_01HZ...",
      "questionId": "clq_01HZ...",
      "order": 1,
      "question": "지원 동기를 작성해주세요.",
      "maxAnswerLength": 1000,
      "originalAnswer": "제가 지원한 이유는...",
      "originalAnswerLength": 530,
      "aiReport": "STAR 관점에서 상황과 과제는 드러나지만 행동과 결과가 약합니다. 성과 수치를 추가하면 더 설득력 있습니다. 우대사항 중 Spring 경험과의 연결이 부족하므로 백엔드, API, 장애 대응 키워드를 보강하는 것이 좋습니다.",
      "rewrittenAnswer": "저는 백엔드 개발자로서...",
      "rewrittenAnswerLength": 820,
      "finalAnswer": "저는 백엔드 개발자로서...",
      "finalAnswerLength": 810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5" ht="56" customHeight="1">
      <x:c r="A15" s="115" t="inlineStr">
        <x:is>
          <x:t xml:space="preserve">    }
  ]
}</x:t>
        </x:is>
      </x:c>
      <x:c r="B15" s="116" t="n"/>
      <x:c r="C15" s="116" t="n"/>
      <x:c r="D15" s="116" t="n"/>
      <x:c r="E15" s="116" t="n"/>
      <x:c r="F15" s="116" t="n"/>
      <x:c r="G15" s="116" t="n"/>
      <x:c r="H15" s="117" t="n"/>
    </x:row>
    <x:row r="17" ht="24" customHeight="1">
      <x:c r="A17" s="113" t="inlineStr">
        <x:is>
          <x:t xml:space="preserve">요청 필드 설명</x:t>
        </x:is>
      </x:c>
      <x:c r="B17" s="106" t="n"/>
      <x:c r="C17" s="106" t="n"/>
      <x:c r="D17" s="106" t="n"/>
      <x:c r="E17" s="106" t="n"/>
      <x:c r="F17" s="106" t="n"/>
      <x:c r="G17" s="106" t="n"/>
      <x:c r="H17" s="106" t="n"/>
    </x:row>
    <x:row r="18">
      <x:c r="A18" s="9" t="inlineStr">
        <x:is>
          <x:t xml:space="preserve">위치</x:t>
        </x:is>
      </x:c>
      <x:c r="B18" s="10" t="inlineStr">
        <x:is>
          <x:t xml:space="preserve">필드 경로</x:t>
        </x:is>
      </x:c>
      <x:c r="C18" s="10" t="inlineStr">
        <x:is>
          <x:t xml:space="preserve">타입</x:t>
        </x:is>
      </x:c>
      <x:c r="D18" s="10" t="inlineStr">
        <x:is>
          <x:t xml:space="preserve">필수 여부</x:t>
        </x:is>
      </x:c>
      <x:c r="E18" s="11" t="inlineStr">
        <x:is>
          <x:t xml:space="preserve">의미·제약</x:t>
        </x:is>
      </x:c>
    </x:row>
    <x:row r="19">
      <x:c r="A19" s="67" t="inlineStr">
        <x:is>
          <x:t xml:space="preserve">path</x:t>
        </x:is>
      </x:c>
      <x:c r="B19" s="46" t="inlineStr">
        <x:is>
          <x:t xml:space="preserve">coverLetterId</x:t>
        </x:is>
      </x:c>
      <x:c r="C19" s="46" t="inlineStr">
        <x:is>
          <x:t xml:space="preserve">string</x:t>
        </x:is>
      </x:c>
      <x:c r="D19" s="46" t="inlineStr">
        <x:is>
          <x:t xml:space="preserve">필수</x:t>
        </x:is>
      </x:c>
      <x:c r="E19" s="68" t="inlineStr">
        <x:is>
          <x:t xml:space="preserve">자기소개서 ID</x:t>
        </x:is>
      </x:c>
    </x:row>
    <x:row r="20">
      <x:c r="A20" s="69" t="inlineStr">
        <x:is>
          <x:t xml:space="preserve">path</x:t>
        </x:is>
      </x:c>
      <x:c r="B20" s="47" t="inlineStr">
        <x:is>
          <x:t xml:space="preserve">versionId</x:t>
        </x:is>
      </x:c>
      <x:c r="C20" s="47" t="inlineStr">
        <x:is>
          <x:t xml:space="preserve">string</x:t>
        </x:is>
      </x:c>
      <x:c r="D20" s="47" t="inlineStr">
        <x:is>
          <x:t xml:space="preserve">필수</x:t>
        </x:is>
      </x:c>
      <x:c r="E20" s="70" t="inlineStr">
        <x:is>
          <x:t xml:space="preserve">첨삭 버전 ID</x:t>
        </x:is>
      </x:c>
    </x:row>
    <x:row r="21">
      <x:c r="A21" s="71" t="inlineStr">
        <x:is>
          <x:t xml:space="preserve">cookie</x:t>
        </x:is>
      </x:c>
      <x:c r="B21" s="48" t="inlineStr">
        <x:is>
          <x:t xml:space="preserve">access_token</x:t>
        </x:is>
      </x:c>
      <x:c r="C21" s="48" t="inlineStr">
        <x:is>
          <x:t xml:space="preserve">string</x:t>
        </x:is>
      </x:c>
      <x:c r="D21" s="48" t="inlineStr">
        <x:is>
          <x:t xml:space="preserve">계약상 필수 (현재 미검증)</x:t>
        </x:is>
      </x:c>
      <x:c r="E21" s="72" t="inlineStr">
        <x:is>
          <x:t xml:space="preserve">현재 사용자 인증 cookie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리소스 고유 ID</x:t>
        </x:is>
      </x:c>
    </x:row>
    <x:row r="26">
      <x:c r="A26" s="69" t="inlineStr">
        <x:is>
          <x:t xml:space="preserve">coverLetterId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자기소개서 ID</x:t>
        </x:is>
      </x:c>
    </x:row>
    <x:row r="27">
      <x:c r="A27" s="69" t="inlineStr">
        <x:is>
          <x:t xml:space="preserve">version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표시용 첨삭 버전</x:t>
        </x:is>
      </x:c>
    </x:row>
    <x:row r="28">
      <x:c r="A28" s="69" t="inlineStr">
        <x:is>
          <x:t xml:space="preserve">isLatest</x:t>
        </x:is>
      </x:c>
      <x:c r="B28" s="47" t="inlineStr">
        <x:is>
          <x:t xml:space="preserve">boolean</x:t>
        </x:is>
      </x:c>
      <x:c r="C28" s="47" t="inlineStr">
        <x:is>
          <x:t xml:space="preserve">필수</x:t>
        </x:is>
      </x:c>
      <x:c r="D28" s="70" t="inlineStr">
        <x:is>
          <x:t xml:space="preserve">최신 첨삭 버전 여부</x:t>
        </x:is>
      </x:c>
    </x:row>
    <x:row r="29">
      <x:c r="A29" s="69" t="inlineStr">
        <x:is>
          <x:t xml:space="preserve">requestInstruction</x:t>
        </x:is>
      </x:c>
      <x:c r="B29" s="47" t="inlineStr">
        <x:is>
          <x:t xml:space="preserve">nullable</x:t>
        </x:is>
      </x:c>
      <x:c r="C29" s="47" t="inlineStr">
        <x:is>
          <x:t xml:space="preserve">조건부/nullable</x:t>
        </x:is>
      </x:c>
      <x:c r="D29" s="70" t="inlineStr">
        <x:is>
          <x:t xml:space="preserve">재첨삭 요청 지시사항</x:t>
        </x:is>
      </x:c>
    </x:row>
    <x:row r="30">
      <x:c r="A30" s="69" t="inlineStr">
        <x:is>
          <x:t xml:space="preserve">createdAt</x:t>
        </x:is>
      </x:c>
      <x:c r="B30" s="47" t="inlineStr">
        <x:is>
          <x:t xml:space="preserve">string</x:t>
        </x:is>
      </x:c>
      <x:c r="C30" s="47" t="inlineStr">
        <x:is>
          <x:t xml:space="preserve">필수</x:t>
        </x:is>
      </x:c>
      <x:c r="D30" s="70" t="inlineStr">
        <x:is>
          <x:t xml:space="preserve">생성 일시</x:t>
        </x:is>
      </x:c>
    </x:row>
    <x:row r="31">
      <x:c r="A31" s="69" t="inlineStr">
        <x:is>
          <x:t xml:space="preserve">questionResults</x:t>
        </x:is>
      </x:c>
      <x:c r="B31" s="47" t="inlineStr">
        <x:is>
          <x:t xml:space="preserve">array</x:t>
        </x:is>
      </x:c>
      <x:c r="C31" s="47" t="inlineStr">
        <x:is>
          <x:t xml:space="preserve">필수</x:t>
        </x:is>
      </x:c>
      <x:c r="D31" s="70" t="inlineStr">
        <x:is>
          <x:t xml:space="preserve">questionResults 값</x:t>
        </x:is>
      </x:c>
    </x:row>
    <x:row r="32">
      <x:c r="A32" s="69" t="inlineStr">
        <x:is>
          <x:t xml:space="preserve">questionResults[].questionResultId</x:t>
        </x:is>
      </x:c>
      <x:c r="B32" s="47" t="inlineStr">
        <x:is>
          <x:t xml:space="preserve">string</x:t>
        </x:is>
      </x:c>
      <x:c r="C32" s="47" t="inlineStr">
        <x:is>
          <x:t xml:space="preserve">필수</x:t>
        </x:is>
      </x:c>
      <x:c r="D32" s="70" t="inlineStr">
        <x:is>
          <x:t xml:space="preserve">첨삭 문항 결과 ID</x:t>
        </x:is>
      </x:c>
    </x:row>
    <x:row r="33">
      <x:c r="A33" s="69" t="inlineStr">
        <x:is>
          <x:t xml:space="preserve">questionResults[].questionId</x:t>
        </x:is>
      </x:c>
      <x:c r="B33" s="47" t="inlineStr">
        <x:is>
          <x:t xml:space="preserve">string</x:t>
        </x:is>
      </x:c>
      <x:c r="C33" s="47" t="inlineStr">
        <x:is>
          <x:t xml:space="preserve">필수</x:t>
        </x:is>
      </x:c>
      <x:c r="D33" s="70" t="inlineStr">
        <x:is>
          <x:t xml:space="preserve">자기소개서 문항 ID</x:t>
        </x:is>
      </x:c>
    </x:row>
    <x:row r="34">
      <x:c r="A34" s="69" t="inlineStr">
        <x:is>
          <x:t xml:space="preserve">questionResults[].order</x:t>
        </x:is>
      </x:c>
      <x:c r="B34" s="47" t="inlineStr">
        <x:is>
          <x:t xml:space="preserve">integer</x:t>
        </x:is>
      </x:c>
      <x:c r="C34" s="47" t="inlineStr">
        <x:is>
          <x:t xml:space="preserve">필수</x:t>
        </x:is>
      </x:c>
      <x:c r="D34" s="70" t="inlineStr">
        <x:is>
          <x:t xml:space="preserve">표시/저장 순서</x:t>
        </x:is>
      </x:c>
    </x:row>
    <x:row r="35">
      <x:c r="A35" s="69" t="inlineStr">
        <x:is>
          <x:t xml:space="preserve">questionResults[].question</x:t>
        </x:is>
      </x:c>
      <x:c r="B35" s="47" t="inlineStr">
        <x:is>
          <x:t xml:space="preserve">string</x:t>
        </x:is>
      </x:c>
      <x:c r="C35" s="47" t="inlineStr">
        <x:is>
          <x:t xml:space="preserve">필수</x:t>
        </x:is>
      </x:c>
      <x:c r="D35" s="70" t="inlineStr">
        <x:is>
          <x:t xml:space="preserve">자기소개서 또는 면접 질문</x:t>
        </x:is>
      </x:c>
    </x:row>
    <x:row r="36">
      <x:c r="A36" s="69" t="inlineStr">
        <x:is>
          <x:t xml:space="preserve">questionResults[].maxAnswerLength</x:t>
        </x:is>
      </x:c>
      <x:c r="B36" s="47" t="inlineStr">
        <x:is>
          <x:t xml:space="preserve">integer</x:t>
        </x:is>
      </x:c>
      <x:c r="C36" s="47" t="inlineStr">
        <x:is>
          <x:t xml:space="preserve">필수</x:t>
        </x:is>
      </x:c>
      <x:c r="D36" s="70" t="inlineStr">
        <x:is>
          <x:t xml:space="preserve">허용된 최대 답변 길이</x:t>
        </x:is>
      </x:c>
    </x:row>
    <x:row r="37">
      <x:c r="A37" s="69" t="inlineStr">
        <x:is>
          <x:t xml:space="preserve">questionResults[].originalAnswer</x:t>
        </x:is>
      </x:c>
      <x:c r="B37" s="47" t="inlineStr">
        <x:is>
          <x:t xml:space="preserve">string</x:t>
        </x:is>
      </x:c>
      <x:c r="C37" s="47" t="inlineStr">
        <x:is>
          <x:t xml:space="preserve">필수</x:t>
        </x:is>
      </x:c>
      <x:c r="D37" s="70" t="inlineStr">
        <x:is>
          <x:t xml:space="preserve">원본 답변</x:t>
        </x:is>
      </x:c>
    </x:row>
    <x:row r="38">
      <x:c r="A38" s="69" t="inlineStr">
        <x:is>
          <x:t xml:space="preserve">questionResults[].originalAnswerLength</x:t>
        </x:is>
      </x:c>
      <x:c r="B38" s="47" t="inlineStr">
        <x:is>
          <x:t xml:space="preserve">integer</x:t>
        </x:is>
      </x:c>
      <x:c r="C38" s="47" t="inlineStr">
        <x:is>
          <x:t xml:space="preserve">필수</x:t>
        </x:is>
      </x:c>
      <x:c r="D38" s="70" t="inlineStr">
        <x:is>
          <x:t xml:space="preserve">원본 답변 글자 수</x:t>
        </x:is>
      </x:c>
    </x:row>
    <x:row r="39">
      <x:c r="A39" s="69" t="inlineStr">
        <x:is>
          <x:t xml:space="preserve">questionResults[].aiReport</x:t>
        </x:is>
      </x:c>
      <x:c r="B39" s="47" t="inlineStr">
        <x:is>
          <x:t xml:space="preserve">string</x:t>
        </x:is>
      </x:c>
      <x:c r="C39" s="47" t="inlineStr">
        <x:is>
          <x:t xml:space="preserve">필수</x:t>
        </x:is>
      </x:c>
      <x:c r="D39" s="70" t="inlineStr">
        <x:is>
          <x:t xml:space="preserve">AI 분석 및 개선 리포트</x:t>
        </x:is>
      </x:c>
    </x:row>
    <x:row r="40">
      <x:c r="A40" s="69" t="inlineStr">
        <x:is>
          <x:t xml:space="preserve">questionResults[].rewrittenAnswer</x:t>
        </x:is>
      </x:c>
      <x:c r="B40" s="47" t="inlineStr">
        <x:is>
          <x:t xml:space="preserve">string</x:t>
        </x:is>
      </x:c>
      <x:c r="C40" s="47" t="inlineStr">
        <x:is>
          <x:t xml:space="preserve">필수</x:t>
        </x:is>
      </x:c>
      <x:c r="D40" s="70" t="inlineStr">
        <x:is>
          <x:t xml:space="preserve">AI가 재작성한 답변</x:t>
        </x:is>
      </x:c>
    </x:row>
    <x:row r="41">
      <x:c r="A41" s="69" t="inlineStr">
        <x:is>
          <x:t xml:space="preserve">questionResults[].rewrittenAnswerLength</x:t>
        </x:is>
      </x:c>
      <x:c r="B41" s="47" t="inlineStr">
        <x:is>
          <x:t xml:space="preserve">integer</x:t>
        </x:is>
      </x:c>
      <x:c r="C41" s="47" t="inlineStr">
        <x:is>
          <x:t xml:space="preserve">필수</x:t>
        </x:is>
      </x:c>
      <x:c r="D41" s="70" t="inlineStr">
        <x:is>
          <x:t xml:space="preserve">재작성 답변 글자 수</x:t>
        </x:is>
      </x:c>
    </x:row>
    <x:row r="42">
      <x:c r="A42" s="69" t="inlineStr">
        <x:is>
          <x:t xml:space="preserve">questionResults[].finalAnswer</x:t>
        </x:is>
      </x:c>
      <x:c r="B42" s="47" t="inlineStr">
        <x:is>
          <x:t xml:space="preserve">string</x:t>
        </x:is>
      </x:c>
      <x:c r="C42" s="47" t="inlineStr">
        <x:is>
          <x:t xml:space="preserve">필수</x:t>
        </x:is>
      </x:c>
      <x:c r="D42" s="70" t="inlineStr">
        <x:is>
          <x:t xml:space="preserve">사용자가 확정한 최종 답변</x:t>
        </x:is>
      </x:c>
    </x:row>
    <x:row r="43">
      <x:c r="A43" s="71" t="inlineStr">
        <x:is>
          <x:t xml:space="preserve">questionResults[].finalAnswerLength</x:t>
        </x:is>
      </x:c>
      <x:c r="B43" s="48" t="inlineStr">
        <x:is>
          <x:t xml:space="preserve">integer</x:t>
        </x:is>
      </x:c>
      <x:c r="C43" s="48" t="inlineStr">
        <x:is>
          <x:t xml:space="preserve">필수</x:t>
        </x:is>
      </x:c>
      <x:c r="D43" s="72" t="inlineStr">
        <x:is>
          <x:t xml:space="preserve">최종 답변 글자 수</x:t>
        </x:is>
      </x:c>
    </x:row>
    <x:row r="45" ht="24" customHeight="1">
      <x:c r="A45" s="113" t="inlineStr">
        <x:is>
          <x:t xml:space="preserve">오류 응답</x:t>
        </x:is>
      </x:c>
      <x:c r="B45" s="106" t="n"/>
      <x:c r="C45" s="106" t="n"/>
      <x:c r="D45" s="106" t="n"/>
      <x:c r="E45" s="106" t="n"/>
      <x:c r="F45" s="106" t="n"/>
      <x:c r="G45" s="106" t="n"/>
      <x:c r="H45" s="106" t="n"/>
    </x:row>
    <x:row r="46">
      <x:c r="A46" s="9" t="inlineStr">
        <x:is>
          <x:t xml:space="preserve">HTTP 상태</x:t>
        </x:is>
      </x:c>
      <x:c r="B46" s="10" t="inlineStr">
        <x:is>
          <x:t xml:space="preserve">오류 코드</x:t>
        </x:is>
      </x:c>
      <x:c r="C46" s="10" t="inlineStr">
        <x:is>
          <x:t xml:space="preserve">발생 조건</x:t>
        </x:is>
      </x:c>
      <x:c r="D46" s="10" t="inlineStr">
        <x:is>
          <x:t xml:space="preserve">프론트 처리</x:t>
        </x:is>
      </x:c>
      <x:c r="E46" s="11" t="inlineStr">
        <x:is>
          <x:t xml:space="preserve">현재 상태</x:t>
        </x:is>
      </x:c>
    </x:row>
    <x:row r="47">
      <x:c r="A47" s="67" t="inlineStr">
        <x:is>
          <x:t xml:space="preserve">401 Unauthorized</x:t>
        </x:is>
      </x:c>
      <x:c r="B47" s="46" t="inlineStr">
        <x:is>
          <x:t xml:space="preserve">UNAUTHORIZED</x:t>
        </x:is>
      </x:c>
      <x:c r="C47" s="46" t="inlineStr">
        <x:is>
          <x:t xml:space="preserve">인증 쿠키가 없거나 유효하지 않음</x:t>
        </x:is>
      </x:c>
      <x:c r="D47" s="46" t="inlineStr">
        <x:is>
          <x:t xml:space="preserve">로그인 화면으로 이동</x:t>
        </x:is>
      </x:c>
      <x:c r="E47" s="68" t="inlineStr">
        <x:is>
          <x:t xml:space="preserve">계약 정의·인증 미구현</x:t>
        </x:is>
      </x:c>
    </x:row>
    <x:row r="48">
      <x:c r="A48" s="69" t="inlineStr">
        <x:is>
          <x:t xml:space="preserve">404 Not Found</x:t>
        </x:is>
      </x:c>
      <x:c r="B48" s="47" t="inlineStr">
        <x:is>
          <x:t xml:space="preserve">NOT_FOUND</x:t>
        </x:is>
      </x:c>
      <x:c r="C48" s="47" t="inlineStr">
        <x:is>
          <x:t xml:space="preserve">대상이 없거나 접근 권한이 없음</x:t>
        </x:is>
      </x:c>
      <x:c r="D48" s="47" t="inlineStr">
        <x:is>
          <x:t xml:space="preserve">목록으로 이동하거나 삭제 상태 반영</x:t>
        </x:is>
      </x:c>
      <x:c r="E48" s="70" t="inlineStr">
        <x:is>
          <x:t xml:space="preserve">현재 구현</x:t>
        </x:is>
      </x:c>
    </x:row>
    <x:row r="49">
      <x:c r="A49" s="71" t="inlineStr">
        <x:is>
          <x:t xml:space="preserve">500 Internal Server Error</x:t>
        </x:is>
      </x:c>
      <x:c r="B49" s="48" t="inlineStr">
        <x:is>
          <x:t xml:space="preserve">INTERNAL_ERROR</x:t>
        </x:is>
      </x:c>
      <x:c r="C49" s="48" t="inlineStr">
        <x:is>
          <x:t xml:space="preserve">예상하지 못한 서버 오류</x:t>
        </x:is>
      </x:c>
      <x:c r="D49" s="48" t="inlineStr">
        <x:is>
          <x:t xml:space="preserve">재시도 안내 후 지속 시 오류 정보 전달</x:t>
        </x:is>
      </x:c>
      <x:c r="E49" s="72" t="inlineStr">
        <x:is>
          <x:t xml:space="preserve">현재 구현</x:t>
        </x:is>
      </x:c>
    </x:row>
  </x:sheetData>
  <x:mergeCells>
    <x:mergeCell ref="A1:H1"/>
    <x:mergeCell ref="A4:H4"/>
    <x:mergeCell ref="A15:H15"/>
    <x:mergeCell ref="A10:H10"/>
    <x:mergeCell ref="B2:H2"/>
    <x:mergeCell ref="A11:H11"/>
    <x:mergeCell ref="A13:H13"/>
    <x:mergeCell ref="A14:H14"/>
    <x:mergeCell ref="A45:H45"/>
    <x:mergeCell ref="A23:H23"/>
    <x:mergeCell ref="A17:H17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c0b554af92e1435d"/>
    <x:tablePart xmlns:r="http://schemas.openxmlformats.org/officeDocument/2006/relationships" r:id="R7d7434924d9140d1"/>
    <x:tablePart xmlns:r="http://schemas.openxmlformats.org/officeDocument/2006/relationships" r:id="R95cb60cb64c24725"/>
  </x:tableParts>
</x:worksheet>
</file>

<file path=xl/worksheets/sheet20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API-019  ·  최종 작성본 일괄 저장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PUT /cover-letters/{coverLetterId}/review-versions/{versionId}/final-answers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PUT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/cover-letters/{coverLetterId}/review-versions/{versionId}/final-answers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최종 작성본 일괄 저장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266" customHeight="1">
      <x:c r="A11" s="115" t="inlineStr">
        <x:is>
          <x:t xml:space="preserve">PUT /cover-letters/cl_01HZ.../review-versions/rv_01HZ.../final-answers HTTP/1.1
Accept: application/json
Cookie: access_token=&lt;access_token&gt;
X-CSRF-Token: &lt;csrf-token&gt;
Content-Type: application/json
{
  "answers": [
    {
      "questionResultId": "rvqr_01HZ...",
      "finalAnswer": "저는 백엔드 개발자로서..."
    },
    {
      "questionResultId": "rvqr_01HY...",
      "finalAnswer": "저는 프로젝트에서..."
    }
  ]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294" customHeight="1">
      <x:c r="A14" s="115" t="inlineStr">
        <x:is>
          <x:t xml:space="preserve">HTTP/1.1 200 OK
Content-Type: application/json
{
  "coverLetterId": "cl_01HZ...",
  "reviewVersionId": "rv_01HZ...",
  "questionResults": [
    {
      "questionResultId": "rvqr_01HZ...",
      "finalAnswer": "저는 백엔드 개발자로서...",
      "finalAnswerLength": 810
    },
    {
      "questionResultId": "rvqr_01HY...",
      "finalAnswer": "저는 프로젝트에서...",
      "finalAnswerLength": 920
    }
  ],
  "updatedAt": "2026-06-20T14:40:00"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path</x:t>
        </x:is>
      </x:c>
      <x:c r="B19" s="47" t="inlineStr">
        <x:is>
          <x:t xml:space="preserve">versionId</x:t>
        </x:is>
      </x:c>
      <x:c r="C19" s="47" t="inlineStr">
        <x:is>
          <x:t xml:space="preserve">string</x:t>
        </x:is>
      </x:c>
      <x:c r="D19" s="47" t="inlineStr">
        <x:is>
          <x:t xml:space="preserve">필수</x:t>
        </x:is>
      </x:c>
      <x:c r="E19" s="70" t="inlineStr">
        <x:is>
          <x:t xml:space="preserve">첨삭 버전 ID</x:t>
        </x:is>
      </x:c>
    </x:row>
    <x:row r="20">
      <x:c r="A20" s="69" t="inlineStr">
        <x:is>
          <x:t xml:space="preserve">cookie</x:t>
        </x:is>
      </x:c>
      <x:c r="B20" s="47" t="inlineStr">
        <x:is>
          <x:t xml:space="preserve">access_token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현재 사용자 인증 cookie</x:t>
        </x:is>
      </x:c>
    </x:row>
    <x:row r="21">
      <x:c r="A21" s="69" t="inlineStr">
        <x:is>
          <x:t xml:space="preserve">header</x:t>
        </x:is>
      </x:c>
      <x:c r="B21" s="47" t="inlineStr">
        <x:is>
          <x:t xml:space="preserve">X-CSRF-Token</x:t>
        </x:is>
      </x:c>
      <x:c r="C21" s="47" t="inlineStr">
        <x:is>
          <x:t xml:space="preserve">string</x:t>
        </x:is>
      </x:c>
      <x:c r="D21" s="47" t="inlineStr">
        <x:is>
          <x:t xml:space="preserve">계약상 필수 (현재 미검증)</x:t>
        </x:is>
      </x:c>
      <x:c r="E21" s="70" t="inlineStr">
        <x:is>
          <x:t xml:space="preserve">상태 변경 요청용 CSRF 토큰</x:t>
        </x:is>
      </x:c>
    </x:row>
    <x:row r="22">
      <x:c r="A22" s="69" t="inlineStr">
        <x:is>
          <x:t xml:space="preserve">body</x:t>
        </x:is>
      </x:c>
      <x:c r="B22" s="47" t="inlineStr">
        <x:is>
          <x:t xml:space="preserve">answers</x:t>
        </x:is>
      </x:c>
      <x:c r="C22" s="47" t="inlineStr">
        <x:is>
          <x:t xml:space="preserve">array&lt;object&gt;</x:t>
        </x:is>
      </x:c>
      <x:c r="D22" s="47" t="inlineStr">
        <x:is>
          <x:t xml:space="preserve">필수</x:t>
        </x:is>
      </x:c>
      <x:c r="E22" s="70" t="inlineStr">
        <x:is>
          <x:t xml:space="preserve">해당 버전 전체 문항의 최종 답변 목록</x:t>
        </x:is>
      </x:c>
    </x:row>
    <x:row r="23">
      <x:c r="A23" s="69" t="inlineStr">
        <x:is>
          <x:t xml:space="preserve">body</x:t>
        </x:is>
      </x:c>
      <x:c r="B23" s="47" t="inlineStr">
        <x:is>
          <x:t xml:space="preserve">answers[].questionResultId</x:t>
        </x:is>
      </x:c>
      <x:c r="C23" s="47" t="inlineStr">
        <x:is>
          <x:t xml:space="preserve">string</x:t>
        </x:is>
      </x:c>
      <x:c r="D23" s="47" t="inlineStr">
        <x:is>
          <x:t xml:space="preserve">필수</x:t>
        </x:is>
      </x:c>
      <x:c r="E23" s="70" t="inlineStr">
        <x:is>
          <x:t xml:space="preserve">첨삭 문항 결과 ID; 중복 불가</x:t>
        </x:is>
      </x:c>
    </x:row>
    <x:row r="24">
      <x:c r="A24" s="71" t="inlineStr">
        <x:is>
          <x:t xml:space="preserve">body</x:t>
        </x:is>
      </x:c>
      <x:c r="B24" s="48" t="inlineStr">
        <x:is>
          <x:t xml:space="preserve">answers[].finalAnswer</x:t>
        </x:is>
      </x:c>
      <x:c r="C24" s="48" t="inlineStr">
        <x:is>
          <x:t xml:space="preserve">string</x:t>
        </x:is>
      </x:c>
      <x:c r="D24" s="48" t="inlineStr">
        <x:is>
          <x:t xml:space="preserve">필수</x:t>
        </x:is>
      </x:c>
      <x:c r="E24" s="72" t="inlineStr">
        <x:is>
          <x:t xml:space="preserve">최종 작성본; trim 후 1~5000자</x:t>
        </x:is>
      </x:c>
    </x:row>
    <x:row r="26" ht="24" customHeight="1">
      <x:c r="A26" s="113" t="inlineStr">
        <x:is>
          <x:t xml:space="preserve">응답 필드 설명</x:t>
        </x:is>
      </x:c>
      <x:c r="B26" s="106" t="n"/>
      <x:c r="C26" s="106" t="n"/>
      <x:c r="D26" s="106" t="n"/>
      <x:c r="E26" s="106" t="n"/>
      <x:c r="F26" s="106" t="n"/>
      <x:c r="G26" s="106" t="n"/>
      <x:c r="H26" s="106" t="n"/>
    </x:row>
    <x:row r="27">
      <x:c r="A27" s="9" t="inlineStr">
        <x:is>
          <x:t xml:space="preserve">필드 경로</x:t>
        </x:is>
      </x:c>
      <x:c r="B27" s="10" t="inlineStr">
        <x:is>
          <x:t xml:space="preserve">타입</x:t>
        </x:is>
      </x:c>
      <x:c r="C27" s="10" t="inlineStr">
        <x:is>
          <x:t xml:space="preserve">필수/nullable</x:t>
        </x:is>
      </x:c>
      <x:c r="D27" s="11" t="inlineStr">
        <x:is>
          <x:t xml:space="preserve">필드 의미</x:t>
        </x:is>
      </x:c>
    </x:row>
    <x:row r="28">
      <x:c r="A28" s="67" t="inlineStr">
        <x:is>
          <x:t xml:space="preserve">coverLetterId</x:t>
        </x:is>
      </x:c>
      <x:c r="B28" s="46" t="inlineStr">
        <x:is>
          <x:t xml:space="preserve">string</x:t>
        </x:is>
      </x:c>
      <x:c r="C28" s="46" t="inlineStr">
        <x:is>
          <x:t xml:space="preserve">필수</x:t>
        </x:is>
      </x:c>
      <x:c r="D28" s="68" t="inlineStr">
        <x:is>
          <x:t xml:space="preserve">자기소개서 ID</x:t>
        </x:is>
      </x:c>
    </x:row>
    <x:row r="29">
      <x:c r="A29" s="69" t="inlineStr">
        <x:is>
          <x:t xml:space="preserve">reviewVersionId</x:t>
        </x:is>
      </x:c>
      <x:c r="B29" s="47" t="inlineStr">
        <x:is>
          <x:t xml:space="preserve">string</x:t>
        </x:is>
      </x:c>
      <x:c r="C29" s="47" t="inlineStr">
        <x:is>
          <x:t xml:space="preserve">필수</x:t>
        </x:is>
      </x:c>
      <x:c r="D29" s="70" t="inlineStr">
        <x:is>
          <x:t xml:space="preserve">reviewVersionId 값</x:t>
        </x:is>
      </x:c>
    </x:row>
    <x:row r="30">
      <x:c r="A30" s="69" t="inlineStr">
        <x:is>
          <x:t xml:space="preserve">questionResults</x:t>
        </x:is>
      </x:c>
      <x:c r="B30" s="47" t="inlineStr">
        <x:is>
          <x:t xml:space="preserve">array</x:t>
        </x:is>
      </x:c>
      <x:c r="C30" s="47" t="inlineStr">
        <x:is>
          <x:t xml:space="preserve">필수</x:t>
        </x:is>
      </x:c>
      <x:c r="D30" s="70" t="inlineStr">
        <x:is>
          <x:t xml:space="preserve">questionResults 값</x:t>
        </x:is>
      </x:c>
    </x:row>
    <x:row r="31">
      <x:c r="A31" s="69" t="inlineStr">
        <x:is>
          <x:t xml:space="preserve">questionResults[].questionResultId</x:t>
        </x:is>
      </x:c>
      <x:c r="B31" s="47" t="inlineStr">
        <x:is>
          <x:t xml:space="preserve">string</x:t>
        </x:is>
      </x:c>
      <x:c r="C31" s="47" t="inlineStr">
        <x:is>
          <x:t xml:space="preserve">필수</x:t>
        </x:is>
      </x:c>
      <x:c r="D31" s="70" t="inlineStr">
        <x:is>
          <x:t xml:space="preserve">첨삭 문항 결과 ID</x:t>
        </x:is>
      </x:c>
    </x:row>
    <x:row r="32">
      <x:c r="A32" s="69" t="inlineStr">
        <x:is>
          <x:t xml:space="preserve">questionResults[].finalAnswer</x:t>
        </x:is>
      </x:c>
      <x:c r="B32" s="47" t="inlineStr">
        <x:is>
          <x:t xml:space="preserve">string</x:t>
        </x:is>
      </x:c>
      <x:c r="C32" s="47" t="inlineStr">
        <x:is>
          <x:t xml:space="preserve">필수</x:t>
        </x:is>
      </x:c>
      <x:c r="D32" s="70" t="inlineStr">
        <x:is>
          <x:t xml:space="preserve">사용자가 확정한 최종 답변</x:t>
        </x:is>
      </x:c>
    </x:row>
    <x:row r="33">
      <x:c r="A33" s="69" t="inlineStr">
        <x:is>
          <x:t xml:space="preserve">questionResults[].finalAnswerLength</x:t>
        </x:is>
      </x:c>
      <x:c r="B33" s="47" t="inlineStr">
        <x:is>
          <x:t xml:space="preserve">integer</x:t>
        </x:is>
      </x:c>
      <x:c r="C33" s="47" t="inlineStr">
        <x:is>
          <x:t xml:space="preserve">필수</x:t>
        </x:is>
      </x:c>
      <x:c r="D33" s="70" t="inlineStr">
        <x:is>
          <x:t xml:space="preserve">최종 답변 글자 수</x:t>
        </x:is>
      </x:c>
    </x:row>
    <x:row r="34">
      <x:c r="A34" s="71" t="inlineStr">
        <x:is>
          <x:t xml:space="preserve">updatedAt</x:t>
        </x:is>
      </x:c>
      <x:c r="B34" s="48" t="inlineStr">
        <x:is>
          <x:t xml:space="preserve">string</x:t>
        </x:is>
      </x:c>
      <x:c r="C34" s="48" t="inlineStr">
        <x:is>
          <x:t xml:space="preserve">필수</x:t>
        </x:is>
      </x:c>
      <x:c r="D34" s="72" t="inlineStr">
        <x:is>
          <x:t xml:space="preserve">최근 수정 일시</x:t>
        </x:is>
      </x:c>
    </x:row>
    <x:row r="36" ht="24" customHeight="1">
      <x:c r="A36" s="113" t="inlineStr">
        <x:is>
          <x:t xml:space="preserve">오류 응답</x:t>
        </x:is>
      </x:c>
      <x:c r="B36" s="106" t="n"/>
      <x:c r="C36" s="106" t="n"/>
      <x:c r="D36" s="106" t="n"/>
      <x:c r="E36" s="106" t="n"/>
      <x:c r="F36" s="106" t="n"/>
      <x:c r="G36" s="106" t="n"/>
      <x:c r="H36" s="106" t="n"/>
    </x:row>
    <x:row r="37">
      <x:c r="A37" s="9" t="inlineStr">
        <x:is>
          <x:t xml:space="preserve">HTTP 상태</x:t>
        </x:is>
      </x:c>
      <x:c r="B37" s="10" t="inlineStr">
        <x:is>
          <x:t xml:space="preserve">오류 코드</x:t>
        </x:is>
      </x:c>
      <x:c r="C37" s="10" t="inlineStr">
        <x:is>
          <x:t xml:space="preserve">발생 조건</x:t>
        </x:is>
      </x:c>
      <x:c r="D37" s="10" t="inlineStr">
        <x:is>
          <x:t xml:space="preserve">프론트 처리</x:t>
        </x:is>
      </x:c>
      <x:c r="E37" s="11" t="inlineStr">
        <x:is>
          <x:t xml:space="preserve">현재 상태</x:t>
        </x:is>
      </x:c>
    </x:row>
    <x:row r="38">
      <x:c r="A38" s="67" t="inlineStr">
        <x:is>
          <x:t xml:space="preserve">409 Conflict</x:t>
        </x:is>
      </x:c>
      <x:c r="B38" s="46" t="inlineStr">
        <x:is>
          <x:t xml:space="preserve">REVIEW_VERSION_NOT_LATEST</x:t>
        </x:is>
      </x:c>
      <x:c r="C38" s="46" t="inlineStr">
        <x:is>
          <x:t xml:space="preserve">최신 첨삭 버전의 최종 작성본만 수정할 수 있습니다.</x:t>
        </x:is>
      </x:c>
      <x:c r="D38" s="46" t="inlineStr">
        <x:is>
          <x:t xml:space="preserve">최신 버전을 다시 조회</x:t>
        </x:is>
      </x:c>
      <x:c r="E38" s="68" t="inlineStr">
        <x:is>
          <x:t xml:space="preserve">현재 구현</x:t>
        </x:is>
      </x:c>
    </x:row>
    <x:row r="39">
      <x:c r="A39" s="69" t="inlineStr">
        <x:is>
          <x:t xml:space="preserve">400 Bad Request</x:t>
        </x:is>
      </x:c>
      <x:c r="B39" s="47" t="inlineStr">
        <x:is>
          <x:t xml:space="preserve">VALIDATION_ERROR</x:t>
        </x:is>
      </x:c>
      <x:c r="C39" s="47" t="inlineStr">
        <x:is>
          <x:t xml:space="preserve">요청 값이 제약 조건을 위반함</x:t>
        </x:is>
      </x:c>
      <x:c r="D39" s="47" t="inlineStr">
        <x:is>
          <x:t xml:space="preserve">error.details의 field/reason을 입력 항목에 표시</x:t>
        </x:is>
      </x:c>
      <x:c r="E39" s="70" t="inlineStr">
        <x:is>
          <x:t xml:space="preserve">현재 구현</x:t>
        </x:is>
      </x:c>
    </x:row>
    <x:row r="40">
      <x:c r="A40" s="69" t="inlineStr">
        <x:is>
          <x:t xml:space="preserve">401 Unauthorized</x:t>
        </x:is>
      </x:c>
      <x:c r="B40" s="47" t="inlineStr">
        <x:is>
          <x:t xml:space="preserve">UNAUTHORIZED</x:t>
        </x:is>
      </x:c>
      <x:c r="C40" s="47" t="inlineStr">
        <x:is>
          <x:t xml:space="preserve">인증 쿠키가 없거나 유효하지 않음</x:t>
        </x:is>
      </x:c>
      <x:c r="D40" s="47" t="inlineStr">
        <x:is>
          <x:t xml:space="preserve">로그인 화면으로 이동</x:t>
        </x:is>
      </x:c>
      <x:c r="E40" s="70" t="inlineStr">
        <x:is>
          <x:t xml:space="preserve">계약 정의·인증 미구현</x:t>
        </x:is>
      </x:c>
    </x:row>
    <x:row r="41">
      <x:c r="A41" s="69" t="inlineStr">
        <x:is>
          <x:t xml:space="preserve">403 Forbidden</x:t>
        </x:is>
      </x:c>
      <x:c r="B41" s="47" t="inlineStr">
        <x:is>
          <x:t xml:space="preserve">CSRF_INVALID</x:t>
        </x:is>
      </x:c>
      <x:c r="C41" s="47" t="inlineStr">
        <x:is>
          <x:t xml:space="preserve">CSRF 토큰이 없거나 일치하지 않음</x:t>
        </x:is>
      </x:c>
      <x:c r="D41" s="47" t="inlineStr">
        <x:is>
          <x:t xml:space="preserve">토큰 갱신 후 1회 재시도</x:t>
        </x:is>
      </x:c>
      <x:c r="E41" s="70" t="inlineStr">
        <x:is>
          <x:t xml:space="preserve">계약 정의·CSRF 미구현</x:t>
        </x:is>
      </x:c>
    </x:row>
    <x:row r="42">
      <x:c r="A42" s="69" t="inlineStr">
        <x:is>
          <x:t xml:space="preserve">404 Not Found</x:t>
        </x:is>
      </x:c>
      <x:c r="B42" s="47" t="inlineStr">
        <x:is>
          <x:t xml:space="preserve">NOT_FOUND</x:t>
        </x:is>
      </x:c>
      <x:c r="C42" s="47" t="inlineStr">
        <x:is>
          <x:t xml:space="preserve">대상이 없거나 접근 권한이 없음</x:t>
        </x:is>
      </x:c>
      <x:c r="D42" s="47" t="inlineStr">
        <x:is>
          <x:t xml:space="preserve">목록으로 이동하거나 삭제 상태 반영</x:t>
        </x:is>
      </x:c>
      <x:c r="E42" s="70" t="inlineStr">
        <x:is>
          <x:t xml:space="preserve">현재 구현</x:t>
        </x:is>
      </x:c>
    </x:row>
    <x:row r="43">
      <x:c r="A43" s="71" t="inlineStr">
        <x:is>
          <x:t xml:space="preserve">500 Internal Server Error</x:t>
        </x:is>
      </x:c>
      <x:c r="B43" s="48" t="inlineStr">
        <x:is>
          <x:t xml:space="preserve">INTERNAL_ERROR</x:t>
        </x:is>
      </x:c>
      <x:c r="C43" s="48" t="inlineStr">
        <x:is>
          <x:t xml:space="preserve">예상하지 못한 서버 오류</x:t>
        </x:is>
      </x:c>
      <x:c r="D43" s="48" t="inlineStr">
        <x:is>
          <x:t xml:space="preserve">재시도 안내 후 지속 시 오류 정보 전달</x:t>
        </x:is>
      </x:c>
      <x:c r="E43" s="72" t="inlineStr">
        <x:is>
          <x:t xml:space="preserve">현재 구현</x:t>
        </x:is>
      </x:c>
    </x:row>
  </x:sheetData>
  <x:mergeCells>
    <x:mergeCell ref="A4:H4"/>
    <x:mergeCell ref="A26:H26"/>
    <x:mergeCell ref="A16:H16"/>
    <x:mergeCell ref="A10:H10"/>
    <x:mergeCell ref="B2:H2"/>
    <x:mergeCell ref="A11:H11"/>
    <x:mergeCell ref="A13:H13"/>
    <x:mergeCell ref="A14:H14"/>
    <x:mergeCell ref="A1:H1"/>
    <x:mergeCell ref="A36:H36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e6de1de7c5e24146"/>
    <x:tablePart xmlns:r="http://schemas.openxmlformats.org/officeDocument/2006/relationships" r:id="R56669109ce714ff0"/>
    <x:tablePart xmlns:r="http://schemas.openxmlformats.org/officeDocument/2006/relationships" r:id="Rc33cd42cea1e474a"/>
  </x:tableParts>
</x:worksheet>
</file>

<file path=xl/worksheets/sheet21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API-020  ·  키워드 분석 시작/재분석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/cover-letters/{coverLetterId}/keyword-analysis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/cover-letters/{coverLetterId}/keyword-analysis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키워드 분석 시작/재분석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40" customHeight="1">
      <x:c r="A11" s="115" t="inlineStr">
        <x:is>
          <x:t xml:space="preserve">POST /cover-letters/cl_01HZ.../keyword-analysis HTTP/1.1
Accept: application/json
Cookie: access_token=&lt;access_token&gt;
X-CSRF-Token: &lt;csrf-token&gt;
Content-Type: application/json
{
  "sourceReviewVersionId": "rv_01HZ..."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40" customHeight="1">
      <x:c r="A14" s="115" t="inlineStr">
        <x:is>
          <x:t xml:space="preserve">HTTP/1.1 200 OK
Content-Type: application/json
{
  "jobId": "job_01HZ...",
  "keywordAnalysisId": "ka_01HZ...",
  "coverLetterId": "cl_01HZ...",
  "status": "PROCESSING"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71" t="inlineStr">
        <x:is>
          <x:t xml:space="preserve">body</x:t>
        </x:is>
      </x:c>
      <x:c r="B21" s="48" t="inlineStr">
        <x:is>
          <x:t xml:space="preserve">sourceReviewVersionId</x:t>
        </x:is>
      </x:c>
      <x:c r="C21" s="48" t="inlineStr">
        <x:is>
          <x:t xml:space="preserve">string</x:t>
        </x:is>
      </x:c>
      <x:c r="D21" s="48" t="inlineStr">
        <x:is>
          <x:t xml:space="preserve">선택</x:t>
        </x:is>
      </x:c>
      <x:c r="E21" s="72" t="inlineStr">
        <x:is>
          <x:t xml:space="preserve">분석 기준 첨삭 버전 ID; 생략 시 최신 버전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jobId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LLM Job ID</x:t>
        </x:is>
      </x:c>
    </x:row>
    <x:row r="26">
      <x:c r="A26" s="69" t="inlineStr">
        <x:is>
          <x:t xml:space="preserve">keywordAnalysisId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키워드 분석 ID</x:t>
        </x:is>
      </x:c>
    </x:row>
    <x:row r="27">
      <x:c r="A27" s="69" t="inlineStr">
        <x:is>
          <x:t xml:space="preserve">coverLetterId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자기소개서 ID</x:t>
        </x:is>
      </x:c>
    </x:row>
    <x:row r="28">
      <x:c r="A28" s="71" t="inlineStr">
        <x:is>
          <x:t xml:space="preserve">status</x:t>
        </x:is>
      </x:c>
      <x:c r="B28" s="48" t="inlineStr">
        <x:is>
          <x:t xml:space="preserve">string</x:t>
        </x:is>
      </x:c>
      <x:c r="C28" s="48" t="inlineStr">
        <x:is>
          <x:t xml:space="preserve">필수</x:t>
        </x:is>
      </x:c>
      <x:c r="D28" s="72" t="inlineStr">
        <x:is>
          <x:t xml:space="preserve">현재 처리/리소스 상태; 고정값: PROCESSING</x:t>
        </x:is>
      </x:c>
    </x:row>
    <x:row r="30" ht="24" customHeight="1">
      <x:c r="A30" s="113" t="inlineStr">
        <x:is>
          <x:t xml:space="preserve">오류 응답</x:t>
        </x:is>
      </x:c>
      <x:c r="B30" s="106" t="n"/>
      <x:c r="C30" s="106" t="n"/>
      <x:c r="D30" s="106" t="n"/>
      <x:c r="E30" s="106" t="n"/>
      <x:c r="F30" s="106" t="n"/>
      <x:c r="G30" s="106" t="n"/>
      <x:c r="H30" s="106" t="n"/>
    </x:row>
    <x:row r="31">
      <x:c r="A31" s="9" t="inlineStr">
        <x:is>
          <x:t xml:space="preserve">HTTP 상태</x:t>
        </x:is>
      </x:c>
      <x:c r="B31" s="10" t="inlineStr">
        <x:is>
          <x:t xml:space="preserve">오류 코드</x:t>
        </x:is>
      </x:c>
      <x:c r="C31" s="10" t="inlineStr">
        <x:is>
          <x:t xml:space="preserve">발생 조건</x:t>
        </x:is>
      </x:c>
      <x:c r="D31" s="10" t="inlineStr">
        <x:is>
          <x:t xml:space="preserve">프론트 처리</x:t>
        </x:is>
      </x:c>
      <x:c r="E31" s="11" t="inlineStr">
        <x:is>
          <x:t xml:space="preserve">현재 상태</x:t>
        </x:is>
      </x:c>
    </x:row>
    <x:row r="32">
      <x:c r="A32" s="67" t="inlineStr">
        <x:is>
          <x:t xml:space="preserve">409 Conflict</x:t>
        </x:is>
      </x:c>
      <x:c r="B32" s="46" t="inlineStr">
        <x:is>
          <x:t xml:space="preserve">LLM_JOB_ALREADY_RUNNING</x:t>
        </x:is>
      </x:c>
      <x:c r="C32" s="46" t="inlineStr">
        <x:is>
          <x:t xml:space="preserve">이미 진행 중인 AI 작업이 있습니다.</x:t>
        </x:is>
      </x:c>
      <x:c r="D32" s="46" t="inlineStr">
        <x:is>
          <x:t xml:space="preserve">기존 Job 상태 조회 화면으로 이동</x:t>
        </x:is>
      </x:c>
      <x:c r="E32" s="68" t="inlineStr">
        <x:is>
          <x:t xml:space="preserve">현재 구현</x:t>
        </x:is>
      </x:c>
    </x:row>
    <x:row r="33">
      <x:c r="A33" s="69" t="inlineStr">
        <x:is>
          <x:t xml:space="preserve">401 Unauthorized</x:t>
        </x:is>
      </x:c>
      <x:c r="B33" s="47" t="inlineStr">
        <x:is>
          <x:t xml:space="preserve">UNAUTHORIZED</x:t>
        </x:is>
      </x:c>
      <x:c r="C33" s="47" t="inlineStr">
        <x:is>
          <x:t xml:space="preserve">인증 쿠키가 없거나 유효하지 않음</x:t>
        </x:is>
      </x:c>
      <x:c r="D33" s="47" t="inlineStr">
        <x:is>
          <x:t xml:space="preserve">로그인 화면으로 이동</x:t>
        </x:is>
      </x:c>
      <x:c r="E33" s="70" t="inlineStr">
        <x:is>
          <x:t xml:space="preserve">계약 정의·인증 미구현</x:t>
        </x:is>
      </x:c>
    </x:row>
    <x:row r="34">
      <x:c r="A34" s="69" t="inlineStr">
        <x:is>
          <x:t xml:space="preserve">403 Forbidden</x:t>
        </x:is>
      </x:c>
      <x:c r="B34" s="47" t="inlineStr">
        <x:is>
          <x:t xml:space="preserve">CSRF_INVALID</x:t>
        </x:is>
      </x:c>
      <x:c r="C34" s="47" t="inlineStr">
        <x:is>
          <x:t xml:space="preserve">CSRF 토큰이 없거나 일치하지 않음</x:t>
        </x:is>
      </x:c>
      <x:c r="D34" s="47" t="inlineStr">
        <x:is>
          <x:t xml:space="preserve">토큰 갱신 후 1회 재시도</x:t>
        </x:is>
      </x:c>
      <x:c r="E34" s="70" t="inlineStr">
        <x:is>
          <x:t xml:space="preserve">계약 정의·CSRF 미구현</x:t>
        </x:is>
      </x:c>
    </x:row>
    <x:row r="35">
      <x:c r="A35" s="69" t="inlineStr">
        <x:is>
          <x:t xml:space="preserve">400 Bad Request</x:t>
        </x:is>
      </x:c>
      <x:c r="B35" s="47" t="inlineStr">
        <x:is>
          <x:t xml:space="preserve">VALIDATION_ERROR</x:t>
        </x:is>
      </x:c>
      <x:c r="C35" s="47" t="inlineStr">
        <x:is>
          <x:t xml:space="preserve">요청 값이 제약 조건을 위반함</x:t>
        </x:is>
      </x:c>
      <x:c r="D35" s="47" t="inlineStr">
        <x:is>
          <x:t xml:space="preserve">error.details의 field/reason을 입력 항목에 표시</x:t>
        </x:is>
      </x:c>
      <x:c r="E35" s="70" t="inlineStr">
        <x:is>
          <x:t xml:space="preserve">현재 구현</x:t>
        </x:is>
      </x:c>
    </x:row>
    <x:row r="36">
      <x:c r="A36" s="69" t="inlineStr">
        <x:is>
          <x:t xml:space="preserve">404 Not Found</x:t>
        </x:is>
      </x:c>
      <x:c r="B36" s="47" t="inlineStr">
        <x:is>
          <x:t xml:space="preserve">NOT_FOUND</x:t>
        </x:is>
      </x:c>
      <x:c r="C36" s="47" t="inlineStr">
        <x:is>
          <x:t xml:space="preserve">대상이 없거나 접근 권한이 없음</x:t>
        </x:is>
      </x:c>
      <x:c r="D36" s="47" t="inlineStr">
        <x:is>
          <x:t xml:space="preserve">목록으로 이동하거나 삭제 상태 반영</x:t>
        </x:is>
      </x:c>
      <x:c r="E36" s="70" t="inlineStr">
        <x:is>
          <x:t xml:space="preserve">현재 구현</x:t>
        </x:is>
      </x:c>
    </x:row>
    <x:row r="37">
      <x:c r="A37" s="71" t="inlineStr">
        <x:is>
          <x:t xml:space="preserve">500 Internal Server Error</x:t>
        </x:is>
      </x:c>
      <x:c r="B37" s="48" t="inlineStr">
        <x:is>
          <x:t xml:space="preserve">INTERNAL_ERROR</x:t>
        </x:is>
      </x:c>
      <x:c r="C37" s="48" t="inlineStr">
        <x:is>
          <x:t xml:space="preserve">예상하지 못한 서버 오류</x:t>
        </x:is>
      </x:c>
      <x:c r="D37" s="48" t="inlineStr">
        <x:is>
          <x:t xml:space="preserve">재시도 안내 후 지속 시 오류 정보 전달</x:t>
        </x:is>
      </x:c>
      <x:c r="E37" s="72" t="inlineStr">
        <x:is>
          <x:t xml:space="preserve">현재 구현</x:t>
        </x:is>
      </x:c>
    </x:row>
  </x:sheetData>
  <x:mergeCells>
    <x:mergeCell ref="A4:H4"/>
    <x:mergeCell ref="A30:H30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9cb2abfd26374561"/>
    <x:tablePart xmlns:r="http://schemas.openxmlformats.org/officeDocument/2006/relationships" r:id="R8cd4c961813b44aa"/>
    <x:tablePart xmlns:r="http://schemas.openxmlformats.org/officeDocument/2006/relationships" r:id="R68c880823cfa4be7"/>
  </x:tableParts>
</x:worksheet>
</file>

<file path=xl/worksheets/sheet22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API-021  ·  최신 키워드 분석 조회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/cover-letters/{coverLetterId}/keyword-analysis/latest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/cover-letters/{coverLetterId}/keyword-analysis/latest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최신 키워드 분석 조회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/cover-letters/cl_01HZ.../keyword-analysis/latest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12" customHeight="1">
      <x:c r="A14" s="115" t="inlineStr">
        <x:is>
          <x:t xml:space="preserve">HTTP/1.1 200 OK
Content-Type: application/json
{
  "status": "NOT_STARTED",
  "keywords": []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71" t="inlineStr">
        <x:is>
          <x:t xml:space="preserve">cookie</x:t>
        </x:is>
      </x:c>
      <x:c r="B19" s="48" t="inlineStr">
        <x:is>
          <x:t xml:space="preserve">access_token</x:t>
        </x:is>
      </x:c>
      <x:c r="C19" s="48" t="inlineStr">
        <x:is>
          <x:t xml:space="preserve">string</x:t>
        </x:is>
      </x:c>
      <x:c r="D19" s="48" t="inlineStr">
        <x:is>
          <x:t xml:space="preserve">계약상 필수 (현재 미검증)</x:t>
        </x:is>
      </x:c>
      <x:c r="E19" s="72" t="inlineStr">
        <x:is>
          <x:t xml:space="preserve">현재 사용자 인증 cookie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67" t="inlineStr">
        <x:is>
          <x:t xml:space="preserve">status</x:t>
        </x:is>
      </x:c>
      <x:c r="B23" s="46" t="inlineStr">
        <x:is>
          <x:t xml:space="preserve">string</x:t>
        </x:is>
      </x:c>
      <x:c r="C23" s="46" t="inlineStr">
        <x:is>
          <x:t xml:space="preserve">필수</x:t>
        </x:is>
      </x:c>
      <x:c r="D23" s="68" t="inlineStr">
        <x:is>
          <x:t xml:space="preserve">현재 처리/리소스 상태; 허용값: NOT_STARTED | PROCESSING | COMPLETED | FAILED</x:t>
        </x:is>
      </x:c>
    </x:row>
    <x:row r="24">
      <x:c r="A24" s="69" t="inlineStr">
        <x:is>
          <x:t xml:space="preserve">keywords</x:t>
        </x:is>
      </x:c>
      <x:c r="B24" s="47" t="inlineStr">
        <x:is>
          <x:t xml:space="preserve">array</x:t>
        </x:is>
      </x:c>
      <x:c r="C24" s="47" t="inlineStr">
        <x:is>
          <x:t xml:space="preserve">필수</x:t>
        </x:is>
      </x:c>
      <x:c r="D24" s="70" t="inlineStr">
        <x:is>
          <x:t xml:space="preserve">keywords 값</x:t>
        </x:is>
      </x:c>
    </x:row>
    <x:row r="25">
      <x:c r="A25" s="69" t="inlineStr">
        <x:is>
          <x:t xml:space="preserve">keywords[].keyword</x:t>
        </x:is>
      </x:c>
      <x:c r="B25" s="47" t="inlineStr">
        <x:is>
          <x:t xml:space="preserve">string</x:t>
        </x:is>
      </x:c>
      <x:c r="C25" s="47" t="inlineStr">
        <x:is>
          <x:t xml:space="preserve">keywords 항목 존재 시 필수</x:t>
        </x:is>
      </x:c>
      <x:c r="D25" s="70" t="inlineStr">
        <x:is>
          <x:t xml:space="preserve">추출된 핵심 키워드</x:t>
        </x:is>
      </x:c>
    </x:row>
    <x:row r="26">
      <x:c r="A26" s="71" t="inlineStr">
        <x:is>
          <x:t xml:space="preserve">keywords[].importance</x:t>
        </x:is>
      </x:c>
      <x:c r="B26" s="48" t="inlineStr">
        <x:is>
          <x:t xml:space="preserve">integer</x:t>
        </x:is>
      </x:c>
      <x:c r="C26" s="48" t="inlineStr">
        <x:is>
          <x:t xml:space="preserve">keywords 항목 존재 시 필수</x:t>
        </x:is>
      </x:c>
      <x:c r="D26" s="72" t="inlineStr">
        <x:is>
          <x:t xml:space="preserve">키워드 중요도; 1~100</x:t>
        </x:is>
      </x:c>
    </x:row>
    <x:row r="28" ht="24" customHeight="1">
      <x:c r="A28" s="113" t="inlineStr">
        <x:is>
          <x:t xml:space="preserve">오류 응답</x:t>
        </x:is>
      </x:c>
      <x:c r="B28" s="106" t="n"/>
      <x:c r="C28" s="106" t="n"/>
      <x:c r="D28" s="106" t="n"/>
      <x:c r="E28" s="106" t="n"/>
      <x:c r="F28" s="106" t="n"/>
      <x:c r="G28" s="106" t="n"/>
      <x:c r="H28" s="106" t="n"/>
    </x:row>
    <x:row r="29">
      <x:c r="A29" s="9" t="inlineStr">
        <x:is>
          <x:t xml:space="preserve">HTTP 상태</x:t>
        </x:is>
      </x:c>
      <x:c r="B29" s="10" t="inlineStr">
        <x:is>
          <x:t xml:space="preserve">오류 코드</x:t>
        </x:is>
      </x:c>
      <x:c r="C29" s="10" t="inlineStr">
        <x:is>
          <x:t xml:space="preserve">발생 조건</x:t>
        </x:is>
      </x:c>
      <x:c r="D29" s="10" t="inlineStr">
        <x:is>
          <x:t xml:space="preserve">프론트 처리</x:t>
        </x:is>
      </x:c>
      <x:c r="E29" s="11" t="inlineStr">
        <x:is>
          <x:t xml:space="preserve">현재 상태</x:t>
        </x:is>
      </x:c>
    </x:row>
    <x:row r="30">
      <x:c r="A30" s="67" t="inlineStr">
        <x:is>
          <x:t xml:space="preserve">401 Unauthorized</x:t>
        </x:is>
      </x:c>
      <x:c r="B30" s="46" t="inlineStr">
        <x:is>
          <x:t xml:space="preserve">UNAUTHORIZED</x:t>
        </x:is>
      </x:c>
      <x:c r="C30" s="46" t="inlineStr">
        <x:is>
          <x:t xml:space="preserve">인증 쿠키가 없거나 유효하지 않음</x:t>
        </x:is>
      </x:c>
      <x:c r="D30" s="46" t="inlineStr">
        <x:is>
          <x:t xml:space="preserve">로그인 화면으로 이동</x:t>
        </x:is>
      </x:c>
      <x:c r="E30" s="68" t="inlineStr">
        <x:is>
          <x:t xml:space="preserve">계약 정의·인증 미구현</x:t>
        </x:is>
      </x:c>
    </x:row>
    <x:row r="31">
      <x:c r="A31" s="69" t="inlineStr">
        <x:is>
          <x:t xml:space="preserve">404 Not Found</x:t>
        </x:is>
      </x:c>
      <x:c r="B31" s="47" t="inlineStr">
        <x:is>
          <x:t xml:space="preserve">NOT_FOUND</x:t>
        </x:is>
      </x:c>
      <x:c r="C31" s="47" t="inlineStr">
        <x:is>
          <x:t xml:space="preserve">대상이 없거나 접근 권한이 없음</x:t>
        </x:is>
      </x:c>
      <x:c r="D31" s="47" t="inlineStr">
        <x:is>
          <x:t xml:space="preserve">목록으로 이동하거나 삭제 상태 반영</x:t>
        </x:is>
      </x:c>
      <x:c r="E31" s="70" t="inlineStr">
        <x:is>
          <x:t xml:space="preserve">현재 구현</x:t>
        </x:is>
      </x:c>
    </x:row>
    <x:row r="32">
      <x:c r="A32" s="71" t="inlineStr">
        <x:is>
          <x:t xml:space="preserve">500 Internal Server Error</x:t>
        </x:is>
      </x:c>
      <x:c r="B32" s="48" t="inlineStr">
        <x:is>
          <x:t xml:space="preserve">INTERNAL_ERROR</x:t>
        </x:is>
      </x:c>
      <x:c r="C32" s="48" t="inlineStr">
        <x:is>
          <x:t xml:space="preserve">예상하지 못한 서버 오류</x:t>
        </x:is>
      </x:c>
      <x:c r="D32" s="48" t="inlineStr">
        <x:is>
          <x:t xml:space="preserve">재시도 안내 후 지속 시 오류 정보 전달</x:t>
        </x:is>
      </x:c>
      <x:c r="E32" s="72" t="inlineStr">
        <x:is>
          <x:t xml:space="preserve">현재 구현</x:t>
        </x:is>
      </x:c>
    </x:row>
  </x:sheetData>
  <x:mergeCells>
    <x:mergeCell ref="A4:H4"/>
    <x:mergeCell ref="A21:H21"/>
    <x:mergeCell ref="A16:H16"/>
    <x:mergeCell ref="A10:H10"/>
    <x:mergeCell ref="A28:H28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4c8658f722994027"/>
    <x:tablePart xmlns:r="http://schemas.openxmlformats.org/officeDocument/2006/relationships" r:id="R73599ea72a514ba1"/>
    <x:tablePart xmlns:r="http://schemas.openxmlformats.org/officeDocument/2006/relationships" r:id="Ra708a28f81d345a9"/>
  </x:tableParts>
</x:worksheet>
</file>

<file path=xl/worksheets/sheet23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API-022  ·  면접 세션과 초기 질문 생성 Job 생성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/cover-letters/{coverLetterId}/interviews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/cover-letters/{coverLetterId}/interviews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면접 세션과 초기 질문 생성 Job 생성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40" customHeight="1">
      <x:c r="A11" s="115" t="inlineStr">
        <x:is>
          <x:t xml:space="preserve">POST /cover-letters/cl_01HZ.../interviews HTTP/1.1
Accept: application/json
Cookie: access_token=&lt;access_token&gt;
X-CSRF-Token: &lt;csrf-token&gt;
Content-Type: application/json
{
  "sourceReviewVersionId": "rv_01HZ..."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26" customHeight="1">
      <x:c r="A14" s="115" t="inlineStr">
        <x:is>
          <x:t xml:space="preserve">HTTP/1.1 200 OK
Content-Type: application/json
{
  "interviewSessionId": "is_01HZ...",
  "jobId": "job_01HZ...",
  "status": "QUESTION_GENERATING"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71" t="inlineStr">
        <x:is>
          <x:t xml:space="preserve">body</x:t>
        </x:is>
      </x:c>
      <x:c r="B21" s="48" t="inlineStr">
        <x:is>
          <x:t xml:space="preserve">sourceReviewVersionId</x:t>
        </x:is>
      </x:c>
      <x:c r="C21" s="48" t="inlineStr">
        <x:is>
          <x:t xml:space="preserve">string</x:t>
        </x:is>
      </x:c>
      <x:c r="D21" s="48" t="inlineStr">
        <x:is>
          <x:t xml:space="preserve">선택</x:t>
        </x:is>
      </x:c>
      <x:c r="E21" s="72" t="inlineStr">
        <x:is>
          <x:t xml:space="preserve">질문 생성 기준 첨삭 버전 ID; 생략 시 최신 버전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interviewSessionId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면접 세션 ID</x:t>
        </x:is>
      </x:c>
    </x:row>
    <x:row r="26">
      <x:c r="A26" s="69" t="inlineStr">
        <x:is>
          <x:t xml:space="preserve">jobId</x:t>
        </x:is>
      </x:c>
      <x:c r="B26" s="47" t="inlineStr">
        <x:is>
          <x:t xml:space="preserve">string</x:t>
        </x:is>
      </x:c>
      <x:c r="C26" s="47" t="inlineStr">
        <x:is>
          <x:t xml:space="preserve">조건부/nullable</x:t>
        </x:is>
      </x:c>
      <x:c r="D26" s="70" t="inlineStr">
        <x:is>
          <x:t xml:space="preserve">LLM Job ID</x:t>
        </x:is>
      </x:c>
    </x:row>
    <x:row r="27">
      <x:c r="A27" s="71" t="inlineStr">
        <x:is>
          <x:t xml:space="preserve">status</x:t>
        </x:is>
      </x:c>
      <x:c r="B27" s="48" t="inlineStr">
        <x:is>
          <x:t xml:space="preserve">string</x:t>
        </x:is>
      </x:c>
      <x:c r="C27" s="48" t="inlineStr">
        <x:is>
          <x:t xml:space="preserve">필수</x:t>
        </x:is>
      </x:c>
      <x:c r="D27" s="72" t="inlineStr">
        <x:is>
          <x:t xml:space="preserve">현재 처리/리소스 상태; 허용값: QUESTION_GENERATING | ACTIVE | FAILED</x:t>
        </x:is>
      </x:c>
    </x:row>
    <x:row r="29" ht="24" customHeight="1">
      <x:c r="A29" s="113" t="inlineStr">
        <x:is>
          <x:t xml:space="preserve">오류 응답</x:t>
        </x:is>
      </x:c>
      <x:c r="B29" s="106" t="n"/>
      <x:c r="C29" s="106" t="n"/>
      <x:c r="D29" s="106" t="n"/>
      <x:c r="E29" s="106" t="n"/>
      <x:c r="F29" s="106" t="n"/>
      <x:c r="G29" s="106" t="n"/>
      <x:c r="H29" s="106" t="n"/>
    </x:row>
    <x:row r="30">
      <x:c r="A30" s="9" t="inlineStr">
        <x:is>
          <x:t xml:space="preserve">HTTP 상태</x:t>
        </x:is>
      </x:c>
      <x:c r="B30" s="10" t="inlineStr">
        <x:is>
          <x:t xml:space="preserve">오류 코드</x:t>
        </x:is>
      </x:c>
      <x:c r="C30" s="10" t="inlineStr">
        <x:is>
          <x:t xml:space="preserve">발생 조건</x:t>
        </x:is>
      </x:c>
      <x:c r="D30" s="10" t="inlineStr">
        <x:is>
          <x:t xml:space="preserve">프론트 처리</x:t>
        </x:is>
      </x:c>
      <x:c r="E30" s="11" t="inlineStr">
        <x:is>
          <x:t xml:space="preserve">현재 상태</x:t>
        </x:is>
      </x:c>
    </x:row>
    <x:row r="31">
      <x:c r="A31" s="67" t="inlineStr">
        <x:is>
          <x:t xml:space="preserve">401 Unauthorized</x:t>
        </x:is>
      </x:c>
      <x:c r="B31" s="46" t="inlineStr">
        <x:is>
          <x:t xml:space="preserve">UNAUTHORIZED</x:t>
        </x:is>
      </x:c>
      <x:c r="C31" s="46" t="inlineStr">
        <x:is>
          <x:t xml:space="preserve">인증 쿠키가 없거나 유효하지 않음</x:t>
        </x:is>
      </x:c>
      <x:c r="D31" s="46" t="inlineStr">
        <x:is>
          <x:t xml:space="preserve">로그인 화면으로 이동</x:t>
        </x:is>
      </x:c>
      <x:c r="E31" s="68" t="inlineStr">
        <x:is>
          <x:t xml:space="preserve">계약 정의·인증 미구현</x:t>
        </x:is>
      </x:c>
    </x:row>
    <x:row r="32">
      <x:c r="A32" s="69" t="inlineStr">
        <x:is>
          <x:t xml:space="preserve">403 Forbidden</x:t>
        </x:is>
      </x:c>
      <x:c r="B32" s="47" t="inlineStr">
        <x:is>
          <x:t xml:space="preserve">CSRF_INVALID</x:t>
        </x:is>
      </x:c>
      <x:c r="C32" s="47" t="inlineStr">
        <x:is>
          <x:t xml:space="preserve">CSRF 토큰이 없거나 일치하지 않음</x:t>
        </x:is>
      </x:c>
      <x:c r="D32" s="47" t="inlineStr">
        <x:is>
          <x:t xml:space="preserve">토큰 갱신 후 1회 재시도</x:t>
        </x:is>
      </x:c>
      <x:c r="E32" s="70" t="inlineStr">
        <x:is>
          <x:t xml:space="preserve">계약 정의·CSRF 미구현</x:t>
        </x:is>
      </x:c>
    </x:row>
    <x:row r="33">
      <x:c r="A33" s="69" t="inlineStr">
        <x:is>
          <x:t xml:space="preserve">400 Bad Request</x:t>
        </x:is>
      </x:c>
      <x:c r="B33" s="47" t="inlineStr">
        <x:is>
          <x:t xml:space="preserve">VALIDATION_ERROR</x:t>
        </x:is>
      </x:c>
      <x:c r="C33" s="47" t="inlineStr">
        <x:is>
          <x:t xml:space="preserve">요청 값이 제약 조건을 위반함</x:t>
        </x:is>
      </x:c>
      <x:c r="D33" s="47" t="inlineStr">
        <x:is>
          <x:t xml:space="preserve">error.details의 field/reason을 입력 항목에 표시</x:t>
        </x:is>
      </x:c>
      <x:c r="E33" s="70" t="inlineStr">
        <x:is>
          <x:t xml:space="preserve">현재 구현</x:t>
        </x:is>
      </x:c>
    </x:row>
    <x:row r="34">
      <x:c r="A34" s="69" t="inlineStr">
        <x:is>
          <x:t xml:space="preserve">404 Not Found</x:t>
        </x:is>
      </x:c>
      <x:c r="B34" s="47" t="inlineStr">
        <x:is>
          <x:t xml:space="preserve">NOT_FOUND</x:t>
        </x:is>
      </x:c>
      <x:c r="C34" s="47" t="inlineStr">
        <x:is>
          <x:t xml:space="preserve">대상이 없거나 접근 권한이 없음</x:t>
        </x:is>
      </x:c>
      <x:c r="D34" s="47" t="inlineStr">
        <x:is>
          <x:t xml:space="preserve">목록으로 이동하거나 삭제 상태 반영</x:t>
        </x:is>
      </x:c>
      <x:c r="E34" s="70" t="inlineStr">
        <x:is>
          <x:t xml:space="preserve">현재 구현</x:t>
        </x:is>
      </x:c>
    </x:row>
    <x:row r="35">
      <x:c r="A35" s="71" t="inlineStr">
        <x:is>
          <x:t xml:space="preserve">500 Internal Server Error</x:t>
        </x:is>
      </x:c>
      <x:c r="B35" s="48" t="inlineStr">
        <x:is>
          <x:t xml:space="preserve">INTERNAL_ERROR</x:t>
        </x:is>
      </x:c>
      <x:c r="C35" s="48" t="inlineStr">
        <x:is>
          <x:t xml:space="preserve">예상하지 못한 서버 오류</x:t>
        </x:is>
      </x:c>
      <x:c r="D35" s="48" t="inlineStr">
        <x:is>
          <x:t xml:space="preserve">재시도 안내 후 지속 시 오류 정보 전달</x:t>
        </x:is>
      </x:c>
      <x:c r="E35" s="72" t="inlineStr">
        <x:is>
          <x:t xml:space="preserve">현재 구현</x:t>
        </x:is>
      </x:c>
    </x:row>
  </x:sheetData>
  <x:mergeCells>
    <x:mergeCell ref="A4:H4"/>
    <x:mergeCell ref="A29:H29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38202780840d4112"/>
    <x:tablePart xmlns:r="http://schemas.openxmlformats.org/officeDocument/2006/relationships" r:id="R0a8cb0c7538d43f2"/>
    <x:tablePart xmlns:r="http://schemas.openxmlformats.org/officeDocument/2006/relationships" r:id="R8bd83315465244f4"/>
  </x:tableParts>
</x:worksheet>
</file>

<file path=xl/worksheets/sheet24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API-023  ·  USER 답변 저장, 피드백 Job 실행, ASSISTANT 피드백 메시지 저장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/interview-threads/{threadId}/messages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/interview-threads/{threadId}/messages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USER 답변 저장, 피드백 Job 실행, ASSISTANT 피드백 메시지 저장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40" customHeight="1">
      <x:c r="A11" s="115" t="inlineStr">
        <x:is>
          <x:t xml:space="preserve">POST /interview-threads/it_01HZ.../messages HTTP/1.1
Accept: application/json
Cookie: access_token=&lt;access_token&gt;
X-CSRF-Token: &lt;csrf-token&gt;
Content-Type: application/json
{
  "content": "저는 프로젝트에서 API 설계를 담당했습니다."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26" customHeight="1">
      <x:c r="A14" s="115" t="inlineStr">
        <x:is>
          <x:t xml:space="preserve">HTTP/1.1 200 OK
Content-Type: application/json
{
  "userMessageId": "im_01HY...",
  "jobId": "job_01HZ...",
  "status": "PENDING"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threadId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면접 질문별 대화방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71" t="inlineStr">
        <x:is>
          <x:t xml:space="preserve">body</x:t>
        </x:is>
      </x:c>
      <x:c r="B21" s="48" t="inlineStr">
        <x:is>
          <x:t xml:space="preserve">content</x:t>
        </x:is>
      </x:c>
      <x:c r="C21" s="48" t="inlineStr">
        <x:is>
          <x:t xml:space="preserve">string</x:t>
        </x:is>
      </x:c>
      <x:c r="D21" s="48" t="inlineStr">
        <x:is>
          <x:t xml:space="preserve">필수</x:t>
        </x:is>
      </x:c>
      <x:c r="E21" s="72" t="inlineStr">
        <x:is>
          <x:t xml:space="preserve">사용자 면접 답변; trim 후 최대 2000자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userMessageId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저장된 사용자 메시지 ID</x:t>
        </x:is>
      </x:c>
    </x:row>
    <x:row r="26">
      <x:c r="A26" s="69" t="inlineStr">
        <x:is>
          <x:t xml:space="preserve">jobId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LLM Job ID</x:t>
        </x:is>
      </x:c>
    </x:row>
    <x:row r="27">
      <x:c r="A27" s="71" t="inlineStr">
        <x:is>
          <x:t xml:space="preserve">status</x:t>
        </x:is>
      </x:c>
      <x:c r="B27" s="48" t="inlineStr">
        <x:is>
          <x:t xml:space="preserve">string</x:t>
        </x:is>
      </x:c>
      <x:c r="C27" s="48" t="inlineStr">
        <x:is>
          <x:t xml:space="preserve">필수</x:t>
        </x:is>
      </x:c>
      <x:c r="D27" s="72" t="inlineStr">
        <x:is>
          <x:t xml:space="preserve">현재 처리/리소스 상태; 허용값: PENDING</x:t>
        </x:is>
      </x:c>
    </x:row>
    <x:row r="29" ht="24" customHeight="1">
      <x:c r="A29" s="113" t="inlineStr">
        <x:is>
          <x:t xml:space="preserve">오류 응답</x:t>
        </x:is>
      </x:c>
      <x:c r="B29" s="106" t="n"/>
      <x:c r="C29" s="106" t="n"/>
      <x:c r="D29" s="106" t="n"/>
      <x:c r="E29" s="106" t="n"/>
      <x:c r="F29" s="106" t="n"/>
      <x:c r="G29" s="106" t="n"/>
      <x:c r="H29" s="106" t="n"/>
    </x:row>
    <x:row r="30">
      <x:c r="A30" s="9" t="inlineStr">
        <x:is>
          <x:t xml:space="preserve">HTTP 상태</x:t>
        </x:is>
      </x:c>
      <x:c r="B30" s="10" t="inlineStr">
        <x:is>
          <x:t xml:space="preserve">오류 코드</x:t>
        </x:is>
      </x:c>
      <x:c r="C30" s="10" t="inlineStr">
        <x:is>
          <x:t xml:space="preserve">발생 조건</x:t>
        </x:is>
      </x:c>
      <x:c r="D30" s="10" t="inlineStr">
        <x:is>
          <x:t xml:space="preserve">프론트 처리</x:t>
        </x:is>
      </x:c>
      <x:c r="E30" s="11" t="inlineStr">
        <x:is>
          <x:t xml:space="preserve">현재 상태</x:t>
        </x:is>
      </x:c>
    </x:row>
    <x:row r="31">
      <x:c r="A31" s="67" t="inlineStr">
        <x:is>
          <x:t xml:space="preserve">404 Not Found</x:t>
        </x:is>
      </x:c>
      <x:c r="B31" s="46" t="inlineStr">
        <x:is>
          <x:t xml:space="preserve">NOT_FOUND</x:t>
        </x:is>
      </x:c>
      <x:c r="C31" s="46" t="inlineStr">
        <x:is>
          <x:t xml:space="preserve">대상이 없거나 접근 권한이 없음</x:t>
        </x:is>
      </x:c>
      <x:c r="D31" s="46" t="inlineStr">
        <x:is>
          <x:t xml:space="preserve">목록으로 이동하거나 삭제 상태 반영</x:t>
        </x:is>
      </x:c>
      <x:c r="E31" s="68" t="inlineStr">
        <x:is>
          <x:t xml:space="preserve">현재 구현</x:t>
        </x:is>
      </x:c>
    </x:row>
    <x:row r="32">
      <x:c r="A32" s="69" t="inlineStr">
        <x:is>
          <x:t xml:space="preserve">409 Conflict</x:t>
        </x:is>
      </x:c>
      <x:c r="B32" s="47" t="inlineStr">
        <x:is>
          <x:t xml:space="preserve">LLM_JOB_ALREADY_RUNNING</x:t>
        </x:is>
      </x:c>
      <x:c r="C32" s="47" t="inlineStr">
        <x:is>
          <x:t xml:space="preserve">동일 자기소개서에 진행 중인 LLM 작업이 있음</x:t>
        </x:is>
      </x:c>
      <x:c r="D32" s="47" t="inlineStr">
        <x:is>
          <x:t xml:space="preserve">기존 Job 상태 조회 화면으로 이동</x:t>
        </x:is>
      </x:c>
      <x:c r="E32" s="70" t="inlineStr">
        <x:is>
          <x:t xml:space="preserve">현재 구현</x:t>
        </x:is>
      </x:c>
    </x:row>
    <x:row r="33">
      <x:c r="A33" s="69" t="inlineStr">
        <x:is>
          <x:t xml:space="preserve">401 Unauthorized</x:t>
        </x:is>
      </x:c>
      <x:c r="B33" s="47" t="inlineStr">
        <x:is>
          <x:t xml:space="preserve">UNAUTHORIZED</x:t>
        </x:is>
      </x:c>
      <x:c r="C33" s="47" t="inlineStr">
        <x:is>
          <x:t xml:space="preserve">인증 쿠키가 없거나 유효하지 않음</x:t>
        </x:is>
      </x:c>
      <x:c r="D33" s="47" t="inlineStr">
        <x:is>
          <x:t xml:space="preserve">로그인 화면으로 이동</x:t>
        </x:is>
      </x:c>
      <x:c r="E33" s="70" t="inlineStr">
        <x:is>
          <x:t xml:space="preserve">계약 정의·인증 미구현</x:t>
        </x:is>
      </x:c>
    </x:row>
    <x:row r="34">
      <x:c r="A34" s="69" t="inlineStr">
        <x:is>
          <x:t xml:space="preserve">403 Forbidden</x:t>
        </x:is>
      </x:c>
      <x:c r="B34" s="47" t="inlineStr">
        <x:is>
          <x:t xml:space="preserve">CSRF_INVALID</x:t>
        </x:is>
      </x:c>
      <x:c r="C34" s="47" t="inlineStr">
        <x:is>
          <x:t xml:space="preserve">CSRF 토큰이 없거나 일치하지 않음</x:t>
        </x:is>
      </x:c>
      <x:c r="D34" s="47" t="inlineStr">
        <x:is>
          <x:t xml:space="preserve">토큰 갱신 후 1회 재시도</x:t>
        </x:is>
      </x:c>
      <x:c r="E34" s="70" t="inlineStr">
        <x:is>
          <x:t xml:space="preserve">계약 정의·CSRF 미구현</x:t>
        </x:is>
      </x:c>
    </x:row>
    <x:row r="35">
      <x:c r="A35" s="69" t="inlineStr">
        <x:is>
          <x:t xml:space="preserve">400 Bad Request</x:t>
        </x:is>
      </x:c>
      <x:c r="B35" s="47" t="inlineStr">
        <x:is>
          <x:t xml:space="preserve">VALIDATION_ERROR</x:t>
        </x:is>
      </x:c>
      <x:c r="C35" s="47" t="inlineStr">
        <x:is>
          <x:t xml:space="preserve">요청 값이 제약 조건을 위반함</x:t>
        </x:is>
      </x:c>
      <x:c r="D35" s="47" t="inlineStr">
        <x:is>
          <x:t xml:space="preserve">error.details의 field/reason을 입력 항목에 표시</x:t>
        </x:is>
      </x:c>
      <x:c r="E35" s="70" t="inlineStr">
        <x:is>
          <x:t xml:space="preserve">현재 구현</x:t>
        </x:is>
      </x:c>
    </x:row>
    <x:row r="36">
      <x:c r="A36" s="71" t="inlineStr">
        <x:is>
          <x:t xml:space="preserve">500 Internal Server Error</x:t>
        </x:is>
      </x:c>
      <x:c r="B36" s="48" t="inlineStr">
        <x:is>
          <x:t xml:space="preserve">INTERNAL_ERROR</x:t>
        </x:is>
      </x:c>
      <x:c r="C36" s="48" t="inlineStr">
        <x:is>
          <x:t xml:space="preserve">예상하지 못한 서버 오류</x:t>
        </x:is>
      </x:c>
      <x:c r="D36" s="48" t="inlineStr">
        <x:is>
          <x:t xml:space="preserve">재시도 안내 후 지속 시 오류 정보 전달</x:t>
        </x:is>
      </x:c>
      <x:c r="E36" s="72" t="inlineStr">
        <x:is>
          <x:t xml:space="preserve">현재 구현</x:t>
        </x:is>
      </x:c>
    </x:row>
  </x:sheetData>
  <x:mergeCells>
    <x:mergeCell ref="A4:H4"/>
    <x:mergeCell ref="A29:H29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b413840a6dd14ce9"/>
    <x:tablePart xmlns:r="http://schemas.openxmlformats.org/officeDocument/2006/relationships" r:id="Rec4589d47636431c"/>
    <x:tablePart xmlns:r="http://schemas.openxmlformats.org/officeDocument/2006/relationships" r:id="R00ec85903be74fb7"/>
  </x:tableParts>
</x:worksheet>
</file>

<file path=xl/worksheets/sheet25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API-024  ·  AI 첨삭 다시받기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/cover-letters/{coverLetterId}/review-versions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/cover-letters/{coverLetterId}/review-versions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AI 첨삭 다시받기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140" customHeight="1">
      <x:c r="A11" s="115" t="inlineStr">
        <x:is>
          <x:t xml:space="preserve">POST /cover-letters/cl_01HZ.../review-versions HTTP/1.1
Accept: application/json
Cookie: access_token=&lt;access_token&gt;
X-CSRF-Token: &lt;csrf-token&gt;
Content-Type: application/json
{
  "requestInstruction": "직무 키워드를 더 강조하고 문장을 자연스럽게 다듬어주세요."
}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40" customHeight="1">
      <x:c r="A14" s="115" t="inlineStr">
        <x:is>
          <x:t xml:space="preserve">HTTP/1.1 200 OK
Content-Type: application/json
{
  "jobId": "job_01HZ...",
  "coverLetterId": "cl_01HZ...",
  "coverLetterStatus": "REVIEWED",
  "jobStatus": "PENDING"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69" t="inlineStr">
        <x:is>
          <x:t xml:space="preserve">header</x:t>
        </x:is>
      </x:c>
      <x:c r="B20" s="47" t="inlineStr">
        <x:is>
          <x:t xml:space="preserve">X-CSRF-Token</x:t>
        </x:is>
      </x:c>
      <x:c r="C20" s="47" t="inlineStr">
        <x:is>
          <x:t xml:space="preserve">string</x:t>
        </x:is>
      </x:c>
      <x:c r="D20" s="47" t="inlineStr">
        <x:is>
          <x:t xml:space="preserve">계약상 필수 (현재 미검증)</x:t>
        </x:is>
      </x:c>
      <x:c r="E20" s="70" t="inlineStr">
        <x:is>
          <x:t xml:space="preserve">상태 변경 요청용 CSRF 토큰</x:t>
        </x:is>
      </x:c>
    </x:row>
    <x:row r="21">
      <x:c r="A21" s="71" t="inlineStr">
        <x:is>
          <x:t xml:space="preserve">body</x:t>
        </x:is>
      </x:c>
      <x:c r="B21" s="48" t="inlineStr">
        <x:is>
          <x:t xml:space="preserve">requestInstruction</x:t>
        </x:is>
      </x:c>
      <x:c r="C21" s="48" t="inlineStr">
        <x:is>
          <x:t xml:space="preserve">string</x:t>
        </x:is>
      </x:c>
      <x:c r="D21" s="48" t="inlineStr">
        <x:is>
          <x:t xml:space="preserve">선택</x:t>
        </x:is>
      </x:c>
      <x:c r="E21" s="72" t="inlineStr">
        <x:is>
          <x:t xml:space="preserve">재첨삭 추가 요구사항; 최대 1000자</x:t>
        </x:is>
      </x:c>
    </x:row>
    <x:row r="23" ht="24" customHeight="1">
      <x:c r="A23" s="113" t="inlineStr">
        <x:is>
          <x:t xml:space="preserve">응답 필드 설명</x:t>
        </x:is>
      </x:c>
      <x:c r="B23" s="106" t="n"/>
      <x:c r="C23" s="106" t="n"/>
      <x:c r="D23" s="106" t="n"/>
      <x:c r="E23" s="106" t="n"/>
      <x:c r="F23" s="106" t="n"/>
      <x:c r="G23" s="106" t="n"/>
      <x:c r="H23" s="106" t="n"/>
    </x:row>
    <x:row r="24">
      <x:c r="A24" s="9" t="inlineStr">
        <x:is>
          <x:t xml:space="preserve">필드 경로</x:t>
        </x:is>
      </x:c>
      <x:c r="B24" s="10" t="inlineStr">
        <x:is>
          <x:t xml:space="preserve">타입</x:t>
        </x:is>
      </x:c>
      <x:c r="C24" s="10" t="inlineStr">
        <x:is>
          <x:t xml:space="preserve">필수/nullable</x:t>
        </x:is>
      </x:c>
      <x:c r="D24" s="11" t="inlineStr">
        <x:is>
          <x:t xml:space="preserve">필드 의미</x:t>
        </x:is>
      </x:c>
    </x:row>
    <x:row r="25">
      <x:c r="A25" s="67" t="inlineStr">
        <x:is>
          <x:t xml:space="preserve">jobId</x:t>
        </x:is>
      </x:c>
      <x:c r="B25" s="46" t="inlineStr">
        <x:is>
          <x:t xml:space="preserve">string</x:t>
        </x:is>
      </x:c>
      <x:c r="C25" s="46" t="inlineStr">
        <x:is>
          <x:t xml:space="preserve">필수</x:t>
        </x:is>
      </x:c>
      <x:c r="D25" s="68" t="inlineStr">
        <x:is>
          <x:t xml:space="preserve">LLM Job ID</x:t>
        </x:is>
      </x:c>
    </x:row>
    <x:row r="26">
      <x:c r="A26" s="69" t="inlineStr">
        <x:is>
          <x:t xml:space="preserve">coverLetterId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자기소개서 ID</x:t>
        </x:is>
      </x:c>
    </x:row>
    <x:row r="27">
      <x:c r="A27" s="69" t="inlineStr">
        <x:is>
          <x:t xml:space="preserve">coverLetterStatus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자기소개서 상태; 고정값: REVIEWED</x:t>
        </x:is>
      </x:c>
    </x:row>
    <x:row r="28">
      <x:c r="A28" s="71" t="inlineStr">
        <x:is>
          <x:t xml:space="preserve">jobStatus</x:t>
        </x:is>
      </x:c>
      <x:c r="B28" s="48" t="inlineStr">
        <x:is>
          <x:t xml:space="preserve">string</x:t>
        </x:is>
      </x:c>
      <x:c r="C28" s="48" t="inlineStr">
        <x:is>
          <x:t xml:space="preserve">필수</x:t>
        </x:is>
      </x:c>
      <x:c r="D28" s="72" t="inlineStr">
        <x:is>
          <x:t xml:space="preserve">LLM Job 상태; 고정값: PENDING</x:t>
        </x:is>
      </x:c>
    </x:row>
    <x:row r="30" ht="24" customHeight="1">
      <x:c r="A30" s="113" t="inlineStr">
        <x:is>
          <x:t xml:space="preserve">오류 응답</x:t>
        </x:is>
      </x:c>
      <x:c r="B30" s="106" t="n"/>
      <x:c r="C30" s="106" t="n"/>
      <x:c r="D30" s="106" t="n"/>
      <x:c r="E30" s="106" t="n"/>
      <x:c r="F30" s="106" t="n"/>
      <x:c r="G30" s="106" t="n"/>
      <x:c r="H30" s="106" t="n"/>
    </x:row>
    <x:row r="31">
      <x:c r="A31" s="9" t="inlineStr">
        <x:is>
          <x:t xml:space="preserve">HTTP 상태</x:t>
        </x:is>
      </x:c>
      <x:c r="B31" s="10" t="inlineStr">
        <x:is>
          <x:t xml:space="preserve">오류 코드</x:t>
        </x:is>
      </x:c>
      <x:c r="C31" s="10" t="inlineStr">
        <x:is>
          <x:t xml:space="preserve">발생 조건</x:t>
        </x:is>
      </x:c>
      <x:c r="D31" s="10" t="inlineStr">
        <x:is>
          <x:t xml:space="preserve">프론트 처리</x:t>
        </x:is>
      </x:c>
      <x:c r="E31" s="11" t="inlineStr">
        <x:is>
          <x:t xml:space="preserve">현재 상태</x:t>
        </x:is>
      </x:c>
    </x:row>
    <x:row r="32">
      <x:c r="A32" s="67" t="inlineStr">
        <x:is>
          <x:t xml:space="preserve">409 Conflict</x:t>
        </x:is>
      </x:c>
      <x:c r="B32" s="46" t="inlineStr">
        <x:is>
          <x:t xml:space="preserve">LLM_JOB_ALREADY_RUNNING</x:t>
        </x:is>
      </x:c>
      <x:c r="C32" s="46" t="inlineStr">
        <x:is>
          <x:t xml:space="preserve">이미 진행 중인 LLM 작업이 있습니다.</x:t>
        </x:is>
      </x:c>
      <x:c r="D32" s="46" t="inlineStr">
        <x:is>
          <x:t xml:space="preserve">기존 Job 상태 조회 화면으로 이동</x:t>
        </x:is>
      </x:c>
      <x:c r="E32" s="68" t="inlineStr">
        <x:is>
          <x:t xml:space="preserve">현재 구현</x:t>
        </x:is>
      </x:c>
    </x:row>
    <x:row r="33">
      <x:c r="A33" s="69" t="inlineStr">
        <x:is>
          <x:t xml:space="preserve">401 Unauthorized</x:t>
        </x:is>
      </x:c>
      <x:c r="B33" s="47" t="inlineStr">
        <x:is>
          <x:t xml:space="preserve">UNAUTHORIZED</x:t>
        </x:is>
      </x:c>
      <x:c r="C33" s="47" t="inlineStr">
        <x:is>
          <x:t xml:space="preserve">인증 쿠키가 없거나 유효하지 않음</x:t>
        </x:is>
      </x:c>
      <x:c r="D33" s="47" t="inlineStr">
        <x:is>
          <x:t xml:space="preserve">로그인 화면으로 이동</x:t>
        </x:is>
      </x:c>
      <x:c r="E33" s="70" t="inlineStr">
        <x:is>
          <x:t xml:space="preserve">계약 정의·인증 미구현</x:t>
        </x:is>
      </x:c>
    </x:row>
    <x:row r="34">
      <x:c r="A34" s="69" t="inlineStr">
        <x:is>
          <x:t xml:space="preserve">403 Forbidden</x:t>
        </x:is>
      </x:c>
      <x:c r="B34" s="47" t="inlineStr">
        <x:is>
          <x:t xml:space="preserve">CSRF_INVALID</x:t>
        </x:is>
      </x:c>
      <x:c r="C34" s="47" t="inlineStr">
        <x:is>
          <x:t xml:space="preserve">CSRF 토큰이 없거나 일치하지 않음</x:t>
        </x:is>
      </x:c>
      <x:c r="D34" s="47" t="inlineStr">
        <x:is>
          <x:t xml:space="preserve">토큰 갱신 후 1회 재시도</x:t>
        </x:is>
      </x:c>
      <x:c r="E34" s="70" t="inlineStr">
        <x:is>
          <x:t xml:space="preserve">계약 정의·CSRF 미구현</x:t>
        </x:is>
      </x:c>
    </x:row>
    <x:row r="35">
      <x:c r="A35" s="69" t="inlineStr">
        <x:is>
          <x:t xml:space="preserve">400 Bad Request</x:t>
        </x:is>
      </x:c>
      <x:c r="B35" s="47" t="inlineStr">
        <x:is>
          <x:t xml:space="preserve">VALIDATION_ERROR</x:t>
        </x:is>
      </x:c>
      <x:c r="C35" s="47" t="inlineStr">
        <x:is>
          <x:t xml:space="preserve">요청 값이 제약 조건을 위반함</x:t>
        </x:is>
      </x:c>
      <x:c r="D35" s="47" t="inlineStr">
        <x:is>
          <x:t xml:space="preserve">error.details의 field/reason을 입력 항목에 표시</x:t>
        </x:is>
      </x:c>
      <x:c r="E35" s="70" t="inlineStr">
        <x:is>
          <x:t xml:space="preserve">현재 구현</x:t>
        </x:is>
      </x:c>
    </x:row>
    <x:row r="36">
      <x:c r="A36" s="69" t="inlineStr">
        <x:is>
          <x:t xml:space="preserve">404 Not Found</x:t>
        </x:is>
      </x:c>
      <x:c r="B36" s="47" t="inlineStr">
        <x:is>
          <x:t xml:space="preserve">NOT_FOUND</x:t>
        </x:is>
      </x:c>
      <x:c r="C36" s="47" t="inlineStr">
        <x:is>
          <x:t xml:space="preserve">대상이 없거나 접근 권한이 없음</x:t>
        </x:is>
      </x:c>
      <x:c r="D36" s="47" t="inlineStr">
        <x:is>
          <x:t xml:space="preserve">목록으로 이동하거나 삭제 상태 반영</x:t>
        </x:is>
      </x:c>
      <x:c r="E36" s="70" t="inlineStr">
        <x:is>
          <x:t xml:space="preserve">현재 구현</x:t>
        </x:is>
      </x:c>
    </x:row>
    <x:row r="37">
      <x:c r="A37" s="71" t="inlineStr">
        <x:is>
          <x:t xml:space="preserve">500 Internal Server Error</x:t>
        </x:is>
      </x:c>
      <x:c r="B37" s="48" t="inlineStr">
        <x:is>
          <x:t xml:space="preserve">INTERNAL_ERROR</x:t>
        </x:is>
      </x:c>
      <x:c r="C37" s="48" t="inlineStr">
        <x:is>
          <x:t xml:space="preserve">예상하지 못한 서버 오류</x:t>
        </x:is>
      </x:c>
      <x:c r="D37" s="48" t="inlineStr">
        <x:is>
          <x:t xml:space="preserve">재시도 안내 후 지속 시 오류 정보 전달</x:t>
        </x:is>
      </x:c>
      <x:c r="E37" s="72" t="inlineStr">
        <x:is>
          <x:t xml:space="preserve">현재 구현</x:t>
        </x:is>
      </x:c>
    </x:row>
  </x:sheetData>
  <x:mergeCells>
    <x:mergeCell ref="A4:H4"/>
    <x:mergeCell ref="A30:H30"/>
    <x:mergeCell ref="A16:H16"/>
    <x:mergeCell ref="A10:H10"/>
    <x:mergeCell ref="B2:H2"/>
    <x:mergeCell ref="A11:H11"/>
    <x:mergeCell ref="A13:H13"/>
    <x:mergeCell ref="A14:H14"/>
    <x:mergeCell ref="A1:H1"/>
    <x:mergeCell ref="A23:H23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ddc757d3290f4a68"/>
    <x:tablePart xmlns:r="http://schemas.openxmlformats.org/officeDocument/2006/relationships" r:id="R52b2671e65d54a51"/>
    <x:tablePart xmlns:r="http://schemas.openxmlformats.org/officeDocument/2006/relationships" r:id="Rbfd3dd2f5da14891"/>
  </x:tableParts>
</x:worksheet>
</file>

<file path=xl/worksheets/sheet26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API-025  ·  현재 면접 세션 조회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/cover-letters/{coverLetterId}/interview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/cover-letters/{coverLetterId}/interview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현재 면접 세션 조회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/cover-letters/cl_01HZ.../interview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12" customHeight="1">
      <x:c r="A14" s="115" t="inlineStr">
        <x:is>
          <x:t xml:space="preserve">HTTP/1.1 200 OK
Content-Type: application/json
{
  "coverLetterId": "cl_01HZ...",
  "interviewSession": null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coverLetterId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자기소개서 ID</x:t>
        </x:is>
      </x:c>
    </x:row>
    <x:row r="19">
      <x:c r="A19" s="71" t="inlineStr">
        <x:is>
          <x:t xml:space="preserve">cookie</x:t>
        </x:is>
      </x:c>
      <x:c r="B19" s="48" t="inlineStr">
        <x:is>
          <x:t xml:space="preserve">access_token</x:t>
        </x:is>
      </x:c>
      <x:c r="C19" s="48" t="inlineStr">
        <x:is>
          <x:t xml:space="preserve">string</x:t>
        </x:is>
      </x:c>
      <x:c r="D19" s="48" t="inlineStr">
        <x:is>
          <x:t xml:space="preserve">계약상 필수 (현재 미검증)</x:t>
        </x:is>
      </x:c>
      <x:c r="E19" s="72" t="inlineStr">
        <x:is>
          <x:t xml:space="preserve">현재 사용자 인증 cookie</x:t>
        </x:is>
      </x:c>
    </x:row>
    <x:row r="21" ht="24" customHeight="1">
      <x:c r="A21" s="113" t="inlineStr">
        <x:is>
          <x:t xml:space="preserve">응답 필드 설명</x:t>
        </x:is>
      </x:c>
      <x:c r="B21" s="106" t="n"/>
      <x:c r="C21" s="106" t="n"/>
      <x:c r="D21" s="106" t="n"/>
      <x:c r="E21" s="106" t="n"/>
      <x:c r="F21" s="106" t="n"/>
      <x:c r="G21" s="106" t="n"/>
      <x:c r="H21" s="106" t="n"/>
    </x:row>
    <x:row r="22">
      <x:c r="A22" s="9" t="inlineStr">
        <x:is>
          <x:t xml:space="preserve">필드 경로</x:t>
        </x:is>
      </x:c>
      <x:c r="B22" s="10" t="inlineStr">
        <x:is>
          <x:t xml:space="preserve">타입</x:t>
        </x:is>
      </x:c>
      <x:c r="C22" s="10" t="inlineStr">
        <x:is>
          <x:t xml:space="preserve">필수/nullable</x:t>
        </x:is>
      </x:c>
      <x:c r="D22" s="11" t="inlineStr">
        <x:is>
          <x:t xml:space="preserve">필드 의미</x:t>
        </x:is>
      </x:c>
    </x:row>
    <x:row r="23">
      <x:c r="A23" s="67" t="inlineStr">
        <x:is>
          <x:t xml:space="preserve">coverLetterId</x:t>
        </x:is>
      </x:c>
      <x:c r="B23" s="46" t="inlineStr">
        <x:is>
          <x:t xml:space="preserve">string</x:t>
        </x:is>
      </x:c>
      <x:c r="C23" s="46" t="inlineStr">
        <x:is>
          <x:t xml:space="preserve">필수</x:t>
        </x:is>
      </x:c>
      <x:c r="D23" s="68" t="inlineStr">
        <x:is>
          <x:t xml:space="preserve">자기소개서 ID</x:t>
        </x:is>
      </x:c>
    </x:row>
    <x:row r="24">
      <x:c r="A24" s="69" t="inlineStr">
        <x:is>
          <x:t xml:space="preserve">interviewSession</x:t>
        </x:is>
      </x:c>
      <x:c r="B24" s="47" t="inlineStr">
        <x:is>
          <x:t xml:space="preserve">object</x:t>
        </x:is>
      </x:c>
      <x:c r="C24" s="47" t="inlineStr">
        <x:is>
          <x:t xml:space="preserve">조건부/nullable</x:t>
        </x:is>
      </x:c>
      <x:c r="D24" s="70" t="inlineStr">
        <x:is>
          <x:t xml:space="preserve">현재 면접 세션; 없으면 null</x:t>
        </x:is>
      </x:c>
    </x:row>
    <x:row r="25">
      <x:c r="A25" s="69" t="inlineStr">
        <x:is>
          <x:t xml:space="preserve">interviewSession.id</x:t>
        </x:is>
      </x:c>
      <x:c r="B25" s="47" t="inlineStr">
        <x:is>
          <x:t xml:space="preserve">string</x:t>
        </x:is>
      </x:c>
      <x:c r="C25" s="47" t="inlineStr">
        <x:is>
          <x:t xml:space="preserve">interviewSession 존재 시 필수</x:t>
        </x:is>
      </x:c>
      <x:c r="D25" s="70" t="inlineStr">
        <x:is>
          <x:t xml:space="preserve">리소스 고유 ID</x:t>
        </x:is>
      </x:c>
    </x:row>
    <x:row r="26">
      <x:c r="A26" s="69" t="inlineStr">
        <x:is>
          <x:t xml:space="preserve">interviewSession.initialSourceReviewVersionId</x:t>
        </x:is>
      </x:c>
      <x:c r="B26" s="47" t="inlineStr">
        <x:is>
          <x:t xml:space="preserve">string</x:t>
        </x:is>
      </x:c>
      <x:c r="C26" s="47" t="inlineStr">
        <x:is>
          <x:t xml:space="preserve">interviewSession 존재 시 필수</x:t>
        </x:is>
      </x:c>
      <x:c r="D26" s="70" t="inlineStr">
        <x:is>
          <x:t xml:space="preserve">면접 최초 질문 생성 기준 첨삭 버전 ID</x:t>
        </x:is>
      </x:c>
    </x:row>
    <x:row r="27">
      <x:c r="A27" s="69" t="inlineStr">
        <x:is>
          <x:t xml:space="preserve">interviewSession.status</x:t>
        </x:is>
      </x:c>
      <x:c r="B27" s="47" t="inlineStr">
        <x:is>
          <x:t xml:space="preserve">string</x:t>
        </x:is>
      </x:c>
      <x:c r="C27" s="47" t="inlineStr">
        <x:is>
          <x:t xml:space="preserve">interviewSession 존재 시 필수</x:t>
        </x:is>
      </x:c>
      <x:c r="D27" s="70" t="inlineStr">
        <x:is>
          <x:t xml:space="preserve">현재 처리/리소스 상태; 허용값: QUESTION_GENERATING | ACTIVE | FAILED</x:t>
        </x:is>
      </x:c>
    </x:row>
    <x:row r="28">
      <x:c r="A28" s="71" t="inlineStr">
        <x:is>
          <x:t xml:space="preserve">interviewSession.createdAt</x:t>
        </x:is>
      </x:c>
      <x:c r="B28" s="48" t="inlineStr">
        <x:is>
          <x:t xml:space="preserve">string</x:t>
        </x:is>
      </x:c>
      <x:c r="C28" s="48" t="inlineStr">
        <x:is>
          <x:t xml:space="preserve">interviewSession 존재 시 필수</x:t>
        </x:is>
      </x:c>
      <x:c r="D28" s="72" t="inlineStr">
        <x:is>
          <x:t xml:space="preserve">생성 일시</x:t>
        </x:is>
      </x:c>
    </x:row>
    <x:row r="30" ht="24" customHeight="1">
      <x:c r="A30" s="113" t="inlineStr">
        <x:is>
          <x:t xml:space="preserve">오류 응답</x:t>
        </x:is>
      </x:c>
      <x:c r="B30" s="106" t="n"/>
      <x:c r="C30" s="106" t="n"/>
      <x:c r="D30" s="106" t="n"/>
      <x:c r="E30" s="106" t="n"/>
      <x:c r="F30" s="106" t="n"/>
      <x:c r="G30" s="106" t="n"/>
      <x:c r="H30" s="106" t="n"/>
    </x:row>
    <x:row r="31">
      <x:c r="A31" s="9" t="inlineStr">
        <x:is>
          <x:t xml:space="preserve">HTTP 상태</x:t>
        </x:is>
      </x:c>
      <x:c r="B31" s="10" t="inlineStr">
        <x:is>
          <x:t xml:space="preserve">오류 코드</x:t>
        </x:is>
      </x:c>
      <x:c r="C31" s="10" t="inlineStr">
        <x:is>
          <x:t xml:space="preserve">발생 조건</x:t>
        </x:is>
      </x:c>
      <x:c r="D31" s="10" t="inlineStr">
        <x:is>
          <x:t xml:space="preserve">프론트 처리</x:t>
        </x:is>
      </x:c>
      <x:c r="E31" s="11" t="inlineStr">
        <x:is>
          <x:t xml:space="preserve">현재 상태</x:t>
        </x:is>
      </x:c>
    </x:row>
    <x:row r="32">
      <x:c r="A32" s="67" t="inlineStr">
        <x:is>
          <x:t xml:space="preserve">404 Not Found</x:t>
        </x:is>
      </x:c>
      <x:c r="B32" s="46" t="inlineStr">
        <x:is>
          <x:t xml:space="preserve">NOT_FOUND</x:t>
        </x:is>
      </x:c>
      <x:c r="C32" s="46" t="inlineStr">
        <x:is>
          <x:t xml:space="preserve">대상이 없거나 접근 권한이 없음</x:t>
        </x:is>
      </x:c>
      <x:c r="D32" s="46" t="inlineStr">
        <x:is>
          <x:t xml:space="preserve">목록으로 이동하거나 삭제 상태 반영</x:t>
        </x:is>
      </x:c>
      <x:c r="E32" s="68" t="inlineStr">
        <x:is>
          <x:t xml:space="preserve">현재 구현</x:t>
        </x:is>
      </x:c>
    </x:row>
    <x:row r="33">
      <x:c r="A33" s="69" t="inlineStr">
        <x:is>
          <x:t xml:space="preserve">401 Unauthorized</x:t>
        </x:is>
      </x:c>
      <x:c r="B33" s="47" t="inlineStr">
        <x:is>
          <x:t xml:space="preserve">UNAUTHORIZED</x:t>
        </x:is>
      </x:c>
      <x:c r="C33" s="47" t="inlineStr">
        <x:is>
          <x:t xml:space="preserve">인증 쿠키가 없거나 유효하지 않음</x:t>
        </x:is>
      </x:c>
      <x:c r="D33" s="47" t="inlineStr">
        <x:is>
          <x:t xml:space="preserve">로그인 화면으로 이동</x:t>
        </x:is>
      </x:c>
      <x:c r="E33" s="70" t="inlineStr">
        <x:is>
          <x:t xml:space="preserve">계약 정의·인증 미구현</x:t>
        </x:is>
      </x:c>
    </x:row>
    <x:row r="34">
      <x:c r="A34" s="71" t="inlineStr">
        <x:is>
          <x:t xml:space="preserve">500 Internal Server Error</x:t>
        </x:is>
      </x:c>
      <x:c r="B34" s="48" t="inlineStr">
        <x:is>
          <x:t xml:space="preserve">INTERNAL_ERROR</x:t>
        </x:is>
      </x:c>
      <x:c r="C34" s="48" t="inlineStr">
        <x:is>
          <x:t xml:space="preserve">예상하지 못한 서버 오류</x:t>
        </x:is>
      </x:c>
      <x:c r="D34" s="48" t="inlineStr">
        <x:is>
          <x:t xml:space="preserve">재시도 안내 후 지속 시 오류 정보 전달</x:t>
        </x:is>
      </x:c>
      <x:c r="E34" s="72" t="inlineStr">
        <x:is>
          <x:t xml:space="preserve">현재 구현</x:t>
        </x:is>
      </x:c>
    </x:row>
  </x:sheetData>
  <x:mergeCells>
    <x:mergeCell ref="A4:H4"/>
    <x:mergeCell ref="A21:H21"/>
    <x:mergeCell ref="A30:H30"/>
    <x:mergeCell ref="A16:H16"/>
    <x:mergeCell ref="A10:H10"/>
    <x:mergeCell ref="B2:H2"/>
    <x:mergeCell ref="A11:H11"/>
    <x:mergeCell ref="A13:H13"/>
    <x:mergeCell ref="A14:H14"/>
    <x:mergeCell ref="A1:H1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8c5cf4f9154645d5"/>
    <x:tablePart xmlns:r="http://schemas.openxmlformats.org/officeDocument/2006/relationships" r:id="R75bda333bb5a4fcd"/>
    <x:tablePart xmlns:r="http://schemas.openxmlformats.org/officeDocument/2006/relationships" r:id="R6d720498ad754f05"/>
  </x:tableParts>
</x:worksheet>
</file>

<file path=xl/worksheets/sheet27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API-026  ·  유형 구분 없는 자기소개서 기반 면접 질문 목록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/interviews/{interviewSessionId}/questions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/interviews/{interviewSessionId}/questions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유형 구분 없는 자기소개서 기반 면접 질문 목록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/interviews/is_01HZ.../questions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350" customHeight="1">
      <x:c r="A14" s="115" t="inlineStr">
        <x:is>
          <x:t xml:space="preserve">HTTP/1.1 200 OK
Content-Type: application/json
{
  "interviewSessionId": "is_01HZ...",
  "items": [
    {
      "id": "iq_01HZ...",
      "sourceReviewVersionId": "rv_01HZ...",
      "order": 1,
      "question": "프로젝트에서 맡은 역할을 더 구체적으로 설명해 주세요.",
      "threadId": "it_01HZ..."
    },
    {
      "id": "iq_01HY...",
      "sourceReviewVersionId": "rv_01HZ...",
      "order": 2,
      "question": "지원 동기에서 언급한 회사 선택 기준을 실제 경험과 연결해 설명해 주세요.",
      "threadId": "it_01HY..."
    },
    {
      "id": "iq_01HX...",
      "sourceReviewVersionId": "rv_01HZ...",
      "order": 3,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5" ht="280" customHeight="1">
      <x:c r="A15" s="115" t="inlineStr">
        <x:is>
          <x:t xml:space="preserve">      "question": "자기소개서에 작성한 협업 경험에서 갈등을 어떻게 해결했는지 설명해 주세요.",
      "threadId": "it_01HX..."
    },
    {
      "id": "iq_01HW...",
      "sourceReviewVersionId": "rv_01HZ...",
      "order": 4,
      "question": "프로젝트 성과를 만들기 위해 본인이 직접 수행한 행동을 설명해 주세요.",
      "threadId": "it_01HW..."
    },
    {
      "id": "iq_01HV...",
      "sourceReviewVersionId": "rv_01HZ...",
      "order": 5,
      "question": "문제 해결 과정에서 가장 중요하게 내린 의사결정을 설명해 주세요.",
      "threadId": "it_01HV..."
    }
  ]
}</x:t>
        </x:is>
      </x:c>
      <x:c r="B15" s="116" t="n"/>
      <x:c r="C15" s="116" t="n"/>
      <x:c r="D15" s="116" t="n"/>
      <x:c r="E15" s="116" t="n"/>
      <x:c r="F15" s="116" t="n"/>
      <x:c r="G15" s="116" t="n"/>
      <x:c r="H15" s="117" t="n"/>
    </x:row>
    <x:row r="17" ht="24" customHeight="1">
      <x:c r="A17" s="113" t="inlineStr">
        <x:is>
          <x:t xml:space="preserve">요청 필드 설명</x:t>
        </x:is>
      </x:c>
      <x:c r="B17" s="106" t="n"/>
      <x:c r="C17" s="106" t="n"/>
      <x:c r="D17" s="106" t="n"/>
      <x:c r="E17" s="106" t="n"/>
      <x:c r="F17" s="106" t="n"/>
      <x:c r="G17" s="106" t="n"/>
      <x:c r="H17" s="106" t="n"/>
    </x:row>
    <x:row r="18">
      <x:c r="A18" s="9" t="inlineStr">
        <x:is>
          <x:t xml:space="preserve">위치</x:t>
        </x:is>
      </x:c>
      <x:c r="B18" s="10" t="inlineStr">
        <x:is>
          <x:t xml:space="preserve">필드 경로</x:t>
        </x:is>
      </x:c>
      <x:c r="C18" s="10" t="inlineStr">
        <x:is>
          <x:t xml:space="preserve">타입</x:t>
        </x:is>
      </x:c>
      <x:c r="D18" s="10" t="inlineStr">
        <x:is>
          <x:t xml:space="preserve">필수 여부</x:t>
        </x:is>
      </x:c>
      <x:c r="E18" s="11" t="inlineStr">
        <x:is>
          <x:t xml:space="preserve">의미·제약</x:t>
        </x:is>
      </x:c>
    </x:row>
    <x:row r="19">
      <x:c r="A19" s="67" t="inlineStr">
        <x:is>
          <x:t xml:space="preserve">path</x:t>
        </x:is>
      </x:c>
      <x:c r="B19" s="46" t="inlineStr">
        <x:is>
          <x:t xml:space="preserve">interviewSessionId</x:t>
        </x:is>
      </x:c>
      <x:c r="C19" s="46" t="inlineStr">
        <x:is>
          <x:t xml:space="preserve">string</x:t>
        </x:is>
      </x:c>
      <x:c r="D19" s="46" t="inlineStr">
        <x:is>
          <x:t xml:space="preserve">필수</x:t>
        </x:is>
      </x:c>
      <x:c r="E19" s="68" t="inlineStr">
        <x:is>
          <x:t xml:space="preserve">면접 세션 ID</x:t>
        </x:is>
      </x:c>
    </x:row>
    <x:row r="20">
      <x:c r="A20" s="71" t="inlineStr">
        <x:is>
          <x:t xml:space="preserve">cookie</x:t>
        </x:is>
      </x:c>
      <x:c r="B20" s="48" t="inlineStr">
        <x:is>
          <x:t xml:space="preserve">access_token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현재 사용자 인증 cookie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67" t="inlineStr">
        <x:is>
          <x:t xml:space="preserve">interviewSessionId</x:t>
        </x:is>
      </x:c>
      <x:c r="B24" s="46" t="inlineStr">
        <x:is>
          <x:t xml:space="preserve">string</x:t>
        </x:is>
      </x:c>
      <x:c r="C24" s="46" t="inlineStr">
        <x:is>
          <x:t xml:space="preserve">필수</x:t>
        </x:is>
      </x:c>
      <x:c r="D24" s="68" t="inlineStr">
        <x:is>
          <x:t xml:space="preserve">면접 세션 ID</x:t>
        </x:is>
      </x:c>
    </x:row>
    <x:row r="25">
      <x:c r="A25" s="69" t="inlineStr">
        <x:is>
          <x:t xml:space="preserve">items</x:t>
        </x:is>
      </x:c>
      <x:c r="B25" s="47" t="inlineStr">
        <x:is>
          <x:t xml:space="preserve">array</x:t>
        </x:is>
      </x:c>
      <x:c r="C25" s="47" t="inlineStr">
        <x:is>
          <x:t xml:space="preserve">필수</x:t>
        </x:is>
      </x:c>
      <x:c r="D25" s="70" t="inlineStr">
        <x:is>
          <x:t xml:space="preserve">목록 항목 배열</x:t>
        </x:is>
      </x:c>
    </x:row>
    <x:row r="26">
      <x:c r="A26" s="69" t="inlineStr">
        <x:is>
          <x:t xml:space="preserve">items[].id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리소스 고유 ID</x:t>
        </x:is>
      </x:c>
    </x:row>
    <x:row r="27">
      <x:c r="A27" s="69" t="inlineStr">
        <x:is>
          <x:t xml:space="preserve">items[].sourceReviewVersionId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분석/질문 생성 기준 첨삭 버전 ID</x:t>
        </x:is>
      </x:c>
    </x:row>
    <x:row r="28">
      <x:c r="A28" s="69" t="inlineStr">
        <x:is>
          <x:t xml:space="preserve">items[].order</x:t>
        </x:is>
      </x:c>
      <x:c r="B28" s="47" t="inlineStr">
        <x:is>
          <x:t xml:space="preserve">integer</x:t>
        </x:is>
      </x:c>
      <x:c r="C28" s="47" t="inlineStr">
        <x:is>
          <x:t xml:space="preserve">필수</x:t>
        </x:is>
      </x:c>
      <x:c r="D28" s="70" t="inlineStr">
        <x:is>
          <x:t xml:space="preserve">표시/저장 순서</x:t>
        </x:is>
      </x:c>
    </x:row>
    <x:row r="29">
      <x:c r="A29" s="69" t="inlineStr">
        <x:is>
          <x:t xml:space="preserve">items[].question</x:t>
        </x:is>
      </x:c>
      <x:c r="B29" s="47" t="inlineStr">
        <x:is>
          <x:t xml:space="preserve">string</x:t>
        </x:is>
      </x:c>
      <x:c r="C29" s="47" t="inlineStr">
        <x:is>
          <x:t xml:space="preserve">필수</x:t>
        </x:is>
      </x:c>
      <x:c r="D29" s="70" t="inlineStr">
        <x:is>
          <x:t xml:space="preserve">자기소개서 또는 면접 질문</x:t>
        </x:is>
      </x:c>
    </x:row>
    <x:row r="30">
      <x:c r="A30" s="71" t="inlineStr">
        <x:is>
          <x:t xml:space="preserve">items[].threadId</x:t>
        </x:is>
      </x:c>
      <x:c r="B30" s="48" t="inlineStr">
        <x:is>
          <x:t xml:space="preserve">string</x:t>
        </x:is>
      </x:c>
      <x:c r="C30" s="48" t="inlineStr">
        <x:is>
          <x:t xml:space="preserve">필수</x:t>
        </x:is>
      </x:c>
      <x:c r="D30" s="72" t="inlineStr">
        <x:is>
          <x:t xml:space="preserve">면접 대화방 ID</x:t>
        </x:is>
      </x:c>
    </x:row>
    <x:row r="32" ht="24" customHeight="1">
      <x:c r="A32" s="113" t="inlineStr">
        <x:is>
          <x:t xml:space="preserve">오류 응답</x:t>
        </x:is>
      </x:c>
      <x:c r="B32" s="106" t="n"/>
      <x:c r="C32" s="106" t="n"/>
      <x:c r="D32" s="106" t="n"/>
      <x:c r="E32" s="106" t="n"/>
      <x:c r="F32" s="106" t="n"/>
      <x:c r="G32" s="106" t="n"/>
      <x:c r="H32" s="106" t="n"/>
    </x:row>
    <x:row r="33">
      <x:c r="A33" s="9" t="inlineStr">
        <x:is>
          <x:t xml:space="preserve">HTTP 상태</x:t>
        </x:is>
      </x:c>
      <x:c r="B33" s="10" t="inlineStr">
        <x:is>
          <x:t xml:space="preserve">오류 코드</x:t>
        </x:is>
      </x:c>
      <x:c r="C33" s="10" t="inlineStr">
        <x:is>
          <x:t xml:space="preserve">발생 조건</x:t>
        </x:is>
      </x:c>
      <x:c r="D33" s="10" t="inlineStr">
        <x:is>
          <x:t xml:space="preserve">프론트 처리</x:t>
        </x:is>
      </x:c>
      <x:c r="E33" s="11" t="inlineStr">
        <x:is>
          <x:t xml:space="preserve">현재 상태</x:t>
        </x:is>
      </x:c>
    </x:row>
    <x:row r="34">
      <x:c r="A34" s="67" t="inlineStr">
        <x:is>
          <x:t xml:space="preserve">404 Not Found</x:t>
        </x:is>
      </x:c>
      <x:c r="B34" s="46" t="inlineStr">
        <x:is>
          <x:t xml:space="preserve">NOT_FOUND</x:t>
        </x:is>
      </x:c>
      <x:c r="C34" s="46" t="inlineStr">
        <x:is>
          <x:t xml:space="preserve">대상이 없거나 접근 권한이 없음</x:t>
        </x:is>
      </x:c>
      <x:c r="D34" s="46" t="inlineStr">
        <x:is>
          <x:t xml:space="preserve">목록으로 이동하거나 삭제 상태 반영</x:t>
        </x:is>
      </x:c>
      <x:c r="E34" s="68" t="inlineStr">
        <x:is>
          <x:t xml:space="preserve">현재 구현</x:t>
        </x:is>
      </x:c>
    </x:row>
    <x:row r="35">
      <x:c r="A35" s="69" t="inlineStr">
        <x:is>
          <x:t xml:space="preserve">401 Unauthorized</x:t>
        </x:is>
      </x:c>
      <x:c r="B35" s="47" t="inlineStr">
        <x:is>
          <x:t xml:space="preserve">UNAUTHORIZED</x:t>
        </x:is>
      </x:c>
      <x:c r="C35" s="47" t="inlineStr">
        <x:is>
          <x:t xml:space="preserve">인증 쿠키가 없거나 유효하지 않음</x:t>
        </x:is>
      </x:c>
      <x:c r="D35" s="47" t="inlineStr">
        <x:is>
          <x:t xml:space="preserve">로그인 화면으로 이동</x:t>
        </x:is>
      </x:c>
      <x:c r="E35" s="70" t="inlineStr">
        <x:is>
          <x:t xml:space="preserve">계약 정의·인증 미구현</x:t>
        </x:is>
      </x:c>
    </x:row>
    <x:row r="36">
      <x:c r="A36" s="71" t="inlineStr">
        <x:is>
          <x:t xml:space="preserve">500 Internal Server Error</x:t>
        </x:is>
      </x:c>
      <x:c r="B36" s="48" t="inlineStr">
        <x:is>
          <x:t xml:space="preserve">INTERNAL_ERROR</x:t>
        </x:is>
      </x:c>
      <x:c r="C36" s="48" t="inlineStr">
        <x:is>
          <x:t xml:space="preserve">예상하지 못한 서버 오류</x:t>
        </x:is>
      </x:c>
      <x:c r="D36" s="48" t="inlineStr">
        <x:is>
          <x:t xml:space="preserve">재시도 안내 후 지속 시 오류 정보 전달</x:t>
        </x:is>
      </x:c>
      <x:c r="E36" s="72" t="inlineStr">
        <x:is>
          <x:t xml:space="preserve">현재 구현</x:t>
        </x:is>
      </x:c>
    </x:row>
  </x:sheetData>
  <x:mergeCells>
    <x:mergeCell ref="A4:H4"/>
    <x:mergeCell ref="A15:H15"/>
    <x:mergeCell ref="A10:H10"/>
    <x:mergeCell ref="B2:H2"/>
    <x:mergeCell ref="A11:H11"/>
    <x:mergeCell ref="A13:H13"/>
    <x:mergeCell ref="A14:H14"/>
    <x:mergeCell ref="A1:H1"/>
    <x:mergeCell ref="A32:H32"/>
    <x:mergeCell ref="A22:H22"/>
    <x:mergeCell ref="A17:H17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f869fac97a664c0a"/>
    <x:tablePart xmlns:r="http://schemas.openxmlformats.org/officeDocument/2006/relationships" r:id="R7085f523a7ee4870"/>
    <x:tablePart xmlns:r="http://schemas.openxmlformats.org/officeDocument/2006/relationships" r:id="R02533a7157154b5d"/>
  </x:tableParts>
</x:worksheet>
</file>

<file path=xl/worksheets/sheet28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API-027  ·  최신 첨삭 버전 기준 자기소개서 기반 면접 질문과 thread 1개 추가 생성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/interviews/{interviewSessionId}/questions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/interviews/{interviewSessionId}/questions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최신 첨삭 버전 기준 자기소개서 기반 면접 질문과 thread 1개 추가 생성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POST /interviews/is_01HZ.../questions HTTP/1.1
Accept: application/json
Cookie: access_token=&lt;access_token&gt;
X-CSRF-Token: &lt;csrf-token&gt;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140" customHeight="1">
      <x:c r="A14" s="115" t="inlineStr">
        <x:is>
          <x:t xml:space="preserve">HTTP/1.1 200 OK
Content-Type: application/json
{
  "interviewSessionId": "is_01HZ...",
  "jobId": "job_01HZ...",
  "status": "ACTIVE",
  "jobStatus": "PENDING"
}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interviewSessionId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면접 세션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71" t="inlineStr">
        <x:is>
          <x:t xml:space="preserve">header</x:t>
        </x:is>
      </x:c>
      <x:c r="B20" s="48" t="inlineStr">
        <x:is>
          <x:t xml:space="preserve">X-CSRF-Token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상태 변경 요청용 CSRF 토큰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67" t="inlineStr">
        <x:is>
          <x:t xml:space="preserve">interviewSessionId</x:t>
        </x:is>
      </x:c>
      <x:c r="B24" s="46" t="inlineStr">
        <x:is>
          <x:t xml:space="preserve">string</x:t>
        </x:is>
      </x:c>
      <x:c r="C24" s="46" t="inlineStr">
        <x:is>
          <x:t xml:space="preserve">필수</x:t>
        </x:is>
      </x:c>
      <x:c r="D24" s="68" t="inlineStr">
        <x:is>
          <x:t xml:space="preserve">면접 세션 ID</x:t>
        </x:is>
      </x:c>
    </x:row>
    <x:row r="25">
      <x:c r="A25" s="69" t="inlineStr">
        <x:is>
          <x:t xml:space="preserve">jobId</x:t>
        </x:is>
      </x:c>
      <x:c r="B25" s="47" t="inlineStr">
        <x:is>
          <x:t xml:space="preserve">string</x:t>
        </x:is>
      </x:c>
      <x:c r="C25" s="47" t="inlineStr">
        <x:is>
          <x:t xml:space="preserve">필수</x:t>
        </x:is>
      </x:c>
      <x:c r="D25" s="70" t="inlineStr">
        <x:is>
          <x:t xml:space="preserve">LLM Job ID</x:t>
        </x:is>
      </x:c>
    </x:row>
    <x:row r="26">
      <x:c r="A26" s="69" t="inlineStr">
        <x:is>
          <x:t xml:space="preserve">status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현재 처리/리소스 상태; 허용값: ACTIVE</x:t>
        </x:is>
      </x:c>
    </x:row>
    <x:row r="27">
      <x:c r="A27" s="71" t="inlineStr">
        <x:is>
          <x:t xml:space="preserve">jobStatus</x:t>
        </x:is>
      </x:c>
      <x:c r="B27" s="48" t="inlineStr">
        <x:is>
          <x:t xml:space="preserve">string</x:t>
        </x:is>
      </x:c>
      <x:c r="C27" s="48" t="inlineStr">
        <x:is>
          <x:t xml:space="preserve">필수</x:t>
        </x:is>
      </x:c>
      <x:c r="D27" s="72" t="inlineStr">
        <x:is>
          <x:t xml:space="preserve">LLM Job 상태; 허용값: PENDING</x:t>
        </x:is>
      </x:c>
    </x:row>
    <x:row r="29" ht="24" customHeight="1">
      <x:c r="A29" s="113" t="inlineStr">
        <x:is>
          <x:t xml:space="preserve">오류 응답</x:t>
        </x:is>
      </x:c>
      <x:c r="B29" s="106" t="n"/>
      <x:c r="C29" s="106" t="n"/>
      <x:c r="D29" s="106" t="n"/>
      <x:c r="E29" s="106" t="n"/>
      <x:c r="F29" s="106" t="n"/>
      <x:c r="G29" s="106" t="n"/>
      <x:c r="H29" s="106" t="n"/>
    </x:row>
    <x:row r="30">
      <x:c r="A30" s="9" t="inlineStr">
        <x:is>
          <x:t xml:space="preserve">HTTP 상태</x:t>
        </x:is>
      </x:c>
      <x:c r="B30" s="10" t="inlineStr">
        <x:is>
          <x:t xml:space="preserve">오류 코드</x:t>
        </x:is>
      </x:c>
      <x:c r="C30" s="10" t="inlineStr">
        <x:is>
          <x:t xml:space="preserve">발생 조건</x:t>
        </x:is>
      </x:c>
      <x:c r="D30" s="10" t="inlineStr">
        <x:is>
          <x:t xml:space="preserve">프론트 처리</x:t>
        </x:is>
      </x:c>
      <x:c r="E30" s="11" t="inlineStr">
        <x:is>
          <x:t xml:space="preserve">현재 상태</x:t>
        </x:is>
      </x:c>
    </x:row>
    <x:row r="31">
      <x:c r="A31" s="67" t="inlineStr">
        <x:is>
          <x:t xml:space="preserve">404 Not Found</x:t>
        </x:is>
      </x:c>
      <x:c r="B31" s="46" t="inlineStr">
        <x:is>
          <x:t xml:space="preserve">NOT_FOUND</x:t>
        </x:is>
      </x:c>
      <x:c r="C31" s="46" t="inlineStr">
        <x:is>
          <x:t xml:space="preserve">대상이 없거나 접근 권한이 없음</x:t>
        </x:is>
      </x:c>
      <x:c r="D31" s="46" t="inlineStr">
        <x:is>
          <x:t xml:space="preserve">목록으로 이동하거나 삭제 상태 반영</x:t>
        </x:is>
      </x:c>
      <x:c r="E31" s="68" t="inlineStr">
        <x:is>
          <x:t xml:space="preserve">현재 구현</x:t>
        </x:is>
      </x:c>
    </x:row>
    <x:row r="32">
      <x:c r="A32" s="69" t="inlineStr">
        <x:is>
          <x:t xml:space="preserve">409 Conflict</x:t>
        </x:is>
      </x:c>
      <x:c r="B32" s="47" t="inlineStr">
        <x:is>
          <x:t xml:space="preserve">CONFLICT</x:t>
        </x:is>
      </x:c>
      <x:c r="C32" s="47" t="inlineStr">
        <x:is>
          <x:t xml:space="preserve">현재 리소스 상태에서 요청을 처리할 수 없음</x:t>
        </x:is>
      </x:c>
      <x:c r="D32" s="47" t="inlineStr">
        <x:is>
          <x:t xml:space="preserve">새로 조회한 뒤 가능한 동작만 제공</x:t>
        </x:is>
      </x:c>
      <x:c r="E32" s="70" t="inlineStr">
        <x:is>
          <x:t xml:space="preserve">현재 구현</x:t>
        </x:is>
      </x:c>
    </x:row>
    <x:row r="33">
      <x:c r="A33" s="69" t="inlineStr">
        <x:is>
          <x:t xml:space="preserve">409 Conflict</x:t>
        </x:is>
      </x:c>
      <x:c r="B33" s="47" t="inlineStr">
        <x:is>
          <x:t xml:space="preserve">LLM_JOB_ALREADY_RUNNING</x:t>
        </x:is>
      </x:c>
      <x:c r="C33" s="47" t="inlineStr">
        <x:is>
          <x:t xml:space="preserve">동일 자기소개서에 진행 중인 LLM 작업이 있음</x:t>
        </x:is>
      </x:c>
      <x:c r="D33" s="47" t="inlineStr">
        <x:is>
          <x:t xml:space="preserve">기존 Job 상태 조회 화면으로 이동</x:t>
        </x:is>
      </x:c>
      <x:c r="E33" s="70" t="inlineStr">
        <x:is>
          <x:t xml:space="preserve">현재 구현</x:t>
        </x:is>
      </x:c>
    </x:row>
    <x:row r="34">
      <x:c r="A34" s="69" t="inlineStr">
        <x:is>
          <x:t xml:space="preserve">401 Unauthorized</x:t>
        </x:is>
      </x:c>
      <x:c r="B34" s="47" t="inlineStr">
        <x:is>
          <x:t xml:space="preserve">UNAUTHORIZED</x:t>
        </x:is>
      </x:c>
      <x:c r="C34" s="47" t="inlineStr">
        <x:is>
          <x:t xml:space="preserve">인증 쿠키가 없거나 유효하지 않음</x:t>
        </x:is>
      </x:c>
      <x:c r="D34" s="47" t="inlineStr">
        <x:is>
          <x:t xml:space="preserve">로그인 화면으로 이동</x:t>
        </x:is>
      </x:c>
      <x:c r="E34" s="70" t="inlineStr">
        <x:is>
          <x:t xml:space="preserve">계약 정의·인증 미구현</x:t>
        </x:is>
      </x:c>
    </x:row>
    <x:row r="35">
      <x:c r="A35" s="69" t="inlineStr">
        <x:is>
          <x:t xml:space="preserve">403 Forbidden</x:t>
        </x:is>
      </x:c>
      <x:c r="B35" s="47" t="inlineStr">
        <x:is>
          <x:t xml:space="preserve">CSRF_INVALID</x:t>
        </x:is>
      </x:c>
      <x:c r="C35" s="47" t="inlineStr">
        <x:is>
          <x:t xml:space="preserve">CSRF 토큰이 없거나 일치하지 않음</x:t>
        </x:is>
      </x:c>
      <x:c r="D35" s="47" t="inlineStr">
        <x:is>
          <x:t xml:space="preserve">토큰 갱신 후 1회 재시도</x:t>
        </x:is>
      </x:c>
      <x:c r="E35" s="70" t="inlineStr">
        <x:is>
          <x:t xml:space="preserve">계약 정의·CSRF 미구현</x:t>
        </x:is>
      </x:c>
    </x:row>
    <x:row r="36">
      <x:c r="A36" s="71" t="inlineStr">
        <x:is>
          <x:t xml:space="preserve">500 Internal Server Error</x:t>
        </x:is>
      </x:c>
      <x:c r="B36" s="48" t="inlineStr">
        <x:is>
          <x:t xml:space="preserve">INTERNAL_ERROR</x:t>
        </x:is>
      </x:c>
      <x:c r="C36" s="48" t="inlineStr">
        <x:is>
          <x:t xml:space="preserve">예상하지 못한 서버 오류</x:t>
        </x:is>
      </x:c>
      <x:c r="D36" s="48" t="inlineStr">
        <x:is>
          <x:t xml:space="preserve">재시도 안내 후 지속 시 오류 정보 전달</x:t>
        </x:is>
      </x:c>
      <x:c r="E36" s="72" t="inlineStr">
        <x:is>
          <x:t xml:space="preserve">현재 구현</x:t>
        </x:is>
      </x:c>
    </x:row>
  </x:sheetData>
  <x:mergeCells>
    <x:mergeCell ref="A4:H4"/>
    <x:mergeCell ref="A29:H29"/>
    <x:mergeCell ref="A16:H16"/>
    <x:mergeCell ref="A10:H10"/>
    <x:mergeCell ref="B2:H2"/>
    <x:mergeCell ref="A11:H11"/>
    <x:mergeCell ref="A13:H13"/>
    <x:mergeCell ref="A14:H14"/>
    <x:mergeCell ref="A1:H1"/>
    <x:mergeCell ref="A22:H22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c7ac065a7e1548fa"/>
    <x:tablePart xmlns:r="http://schemas.openxmlformats.org/officeDocument/2006/relationships" r:id="R0105a5c33b0c40f1"/>
    <x:tablePart xmlns:r="http://schemas.openxmlformats.org/officeDocument/2006/relationships" r:id="Rd27fd70c03e04a80"/>
  </x:tableParts>
</x:worksheet>
</file>

<file path=xl/worksheets/sheet29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API-028  ·  질문 생성 시 thread를 함께 저장하므로 사용하지 않음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POST /interviews/{interviewSessionId}/threads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POST</x:t>
        </x:is>
      </x:c>
      <x:c r="C5" s="82" t="inlineStr">
        <x:is>
          <x:t xml:space="preserve">Path</x:t>
        </x:is>
      </x:c>
      <x:c r="D5" s="46" t="inlineStr">
        <x:is>
          <x:t xml:space="preserve">/interviews/{interviewSessionId}/threads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폐기·호출 금지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질문 생성 시 thread를 함께 저장하므로 사용하지 않음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X-CSRF-Token 필요 (미구현)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POST /interviews/is_01HZ.../threads HTTP/1.1
Accept: application/json
Cookie: access_token=&lt;access_token&gt;
X-CSRF-Token: &lt;csrf-token&gt;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56" customHeight="1">
      <x:c r="A14" s="115" t="inlineStr">
        <x:is>
          <x:t xml:space="preserve">HTTP/1.1 200 OK
Deprecated: 별도 API를 호출하지 않습니다.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6" ht="24" customHeight="1">
      <x:c r="A16" s="113" t="inlineStr">
        <x:is>
          <x:t xml:space="preserve">요청 필드 설명</x:t>
        </x:is>
      </x:c>
      <x:c r="B16" s="106" t="n"/>
      <x:c r="C16" s="106" t="n"/>
      <x:c r="D16" s="106" t="n"/>
      <x:c r="E16" s="106" t="n"/>
      <x:c r="F16" s="106" t="n"/>
      <x:c r="G16" s="106" t="n"/>
      <x:c r="H16" s="106" t="n"/>
    </x:row>
    <x:row r="17">
      <x:c r="A17" s="9" t="inlineStr">
        <x:is>
          <x:t xml:space="preserve">위치</x:t>
        </x:is>
      </x:c>
      <x:c r="B17" s="10" t="inlineStr">
        <x:is>
          <x:t xml:space="preserve">필드 경로</x:t>
        </x:is>
      </x:c>
      <x:c r="C17" s="10" t="inlineStr">
        <x:is>
          <x:t xml:space="preserve">타입</x:t>
        </x:is>
      </x:c>
      <x:c r="D17" s="10" t="inlineStr">
        <x:is>
          <x:t xml:space="preserve">필수 여부</x:t>
        </x:is>
      </x:c>
      <x:c r="E17" s="11" t="inlineStr">
        <x:is>
          <x:t xml:space="preserve">의미·제약</x:t>
        </x:is>
      </x:c>
    </x:row>
    <x:row r="18">
      <x:c r="A18" s="67" t="inlineStr">
        <x:is>
          <x:t xml:space="preserve">path</x:t>
        </x:is>
      </x:c>
      <x:c r="B18" s="46" t="inlineStr">
        <x:is>
          <x:t xml:space="preserve">interviewSessionId</x:t>
        </x:is>
      </x:c>
      <x:c r="C18" s="46" t="inlineStr">
        <x:is>
          <x:t xml:space="preserve">string</x:t>
        </x:is>
      </x:c>
      <x:c r="D18" s="46" t="inlineStr">
        <x:is>
          <x:t xml:space="preserve">필수</x:t>
        </x:is>
      </x:c>
      <x:c r="E18" s="68" t="inlineStr">
        <x:is>
          <x:t xml:space="preserve">면접 세션 ID</x:t>
        </x:is>
      </x:c>
    </x:row>
    <x:row r="19">
      <x:c r="A19" s="69" t="inlineStr">
        <x:is>
          <x:t xml:space="preserve">cookie</x:t>
        </x:is>
      </x:c>
      <x:c r="B19" s="47" t="inlineStr">
        <x:is>
          <x:t xml:space="preserve">access_token</x:t>
        </x:is>
      </x:c>
      <x:c r="C19" s="47" t="inlineStr">
        <x:is>
          <x:t xml:space="preserve">string</x:t>
        </x:is>
      </x:c>
      <x:c r="D19" s="47" t="inlineStr">
        <x:is>
          <x:t xml:space="preserve">계약상 필수 (현재 미검증)</x:t>
        </x:is>
      </x:c>
      <x:c r="E19" s="70" t="inlineStr">
        <x:is>
          <x:t xml:space="preserve">현재 사용자 인증 cookie</x:t>
        </x:is>
      </x:c>
    </x:row>
    <x:row r="20">
      <x:c r="A20" s="71" t="inlineStr">
        <x:is>
          <x:t xml:space="preserve">header</x:t>
        </x:is>
      </x:c>
      <x:c r="B20" s="48" t="inlineStr">
        <x:is>
          <x:t xml:space="preserve">X-CSRF-Token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상태 변경 요청용 CSRF 토큰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102" t="inlineStr">
        <x:is>
          <x:t xml:space="preserve">-</x:t>
        </x:is>
      </x:c>
      <x:c r="B24" s="103" t="inlineStr">
        <x:is>
          <x:t xml:space="preserve">-</x:t>
        </x:is>
      </x:c>
      <x:c r="C24" s="103" t="inlineStr">
        <x:is>
          <x:t xml:space="preserve">-</x:t>
        </x:is>
      </x:c>
      <x:c r="D24" s="104" t="inlineStr">
        <x:is>
          <x:t xml:space="preserve">Deprecated API; 호출하지 않음</x:t>
        </x:is>
      </x:c>
    </x:row>
    <x:row r="26" ht="24" customHeight="1">
      <x:c r="A26" s="113" t="inlineStr">
        <x:is>
          <x:t xml:space="preserve">오류 응답</x:t>
        </x:is>
      </x:c>
      <x:c r="B26" s="106" t="n"/>
      <x:c r="C26" s="106" t="n"/>
      <x:c r="D26" s="106" t="n"/>
      <x:c r="E26" s="106" t="n"/>
      <x:c r="F26" s="106" t="n"/>
      <x:c r="G26" s="106" t="n"/>
      <x:c r="H26" s="106" t="n"/>
    </x:row>
    <x:row r="27">
      <x:c r="A27" s="9" t="inlineStr">
        <x:is>
          <x:t xml:space="preserve">HTTP 상태</x:t>
        </x:is>
      </x:c>
      <x:c r="B27" s="10" t="inlineStr">
        <x:is>
          <x:t xml:space="preserve">오류 코드</x:t>
        </x:is>
      </x:c>
      <x:c r="C27" s="10" t="inlineStr">
        <x:is>
          <x:t xml:space="preserve">발생 조건</x:t>
        </x:is>
      </x:c>
      <x:c r="D27" s="10" t="inlineStr">
        <x:is>
          <x:t xml:space="preserve">프론트 처리</x:t>
        </x:is>
      </x:c>
      <x:c r="E27" s="11" t="inlineStr">
        <x:is>
          <x:t xml:space="preserve">현재 상태</x:t>
        </x:is>
      </x:c>
    </x:row>
    <x:row r="28">
      <x:c r="A28" s="67" t="inlineStr">
        <x:is>
          <x:t xml:space="preserve">401 Unauthorized</x:t>
        </x:is>
      </x:c>
      <x:c r="B28" s="46" t="inlineStr">
        <x:is>
          <x:t xml:space="preserve">UNAUTHORIZED</x:t>
        </x:is>
      </x:c>
      <x:c r="C28" s="46" t="inlineStr">
        <x:is>
          <x:t xml:space="preserve">인증 쿠키가 없거나 유효하지 않음</x:t>
        </x:is>
      </x:c>
      <x:c r="D28" s="46" t="inlineStr">
        <x:is>
          <x:t xml:space="preserve">로그인 화면으로 이동</x:t>
        </x:is>
      </x:c>
      <x:c r="E28" s="68" t="inlineStr">
        <x:is>
          <x:t xml:space="preserve">계약 정의·인증 미구현</x:t>
        </x:is>
      </x:c>
    </x:row>
    <x:row r="29">
      <x:c r="A29" s="69" t="inlineStr">
        <x:is>
          <x:t xml:space="preserve">403 Forbidden</x:t>
        </x:is>
      </x:c>
      <x:c r="B29" s="47" t="inlineStr">
        <x:is>
          <x:t xml:space="preserve">CSRF_INVALID</x:t>
        </x:is>
      </x:c>
      <x:c r="C29" s="47" t="inlineStr">
        <x:is>
          <x:t xml:space="preserve">CSRF 토큰이 없거나 일치하지 않음</x:t>
        </x:is>
      </x:c>
      <x:c r="D29" s="47" t="inlineStr">
        <x:is>
          <x:t xml:space="preserve">토큰 갱신 후 1회 재시도</x:t>
        </x:is>
      </x:c>
      <x:c r="E29" s="70" t="inlineStr">
        <x:is>
          <x:t xml:space="preserve">계약 정의·CSRF 미구현</x:t>
        </x:is>
      </x:c>
    </x:row>
    <x:row r="30">
      <x:c r="A30" s="69" t="inlineStr">
        <x:is>
          <x:t xml:space="preserve">404 Not Found</x:t>
        </x:is>
      </x:c>
      <x:c r="B30" s="47" t="inlineStr">
        <x:is>
          <x:t xml:space="preserve">NOT_FOUND</x:t>
        </x:is>
      </x:c>
      <x:c r="C30" s="47" t="inlineStr">
        <x:is>
          <x:t xml:space="preserve">대상이 없거나 접근 권한이 없음</x:t>
        </x:is>
      </x:c>
      <x:c r="D30" s="47" t="inlineStr">
        <x:is>
          <x:t xml:space="preserve">목록으로 이동하거나 삭제 상태 반영</x:t>
        </x:is>
      </x:c>
      <x:c r="E30" s="70" t="inlineStr">
        <x:is>
          <x:t xml:space="preserve">현재 구현</x:t>
        </x:is>
      </x:c>
    </x:row>
    <x:row r="31">
      <x:c r="A31" s="71" t="inlineStr">
        <x:is>
          <x:t xml:space="preserve">500 Internal Server Error</x:t>
        </x:is>
      </x:c>
      <x:c r="B31" s="48" t="inlineStr">
        <x:is>
          <x:t xml:space="preserve">INTERNAL_ERROR</x:t>
        </x:is>
      </x:c>
      <x:c r="C31" s="48" t="inlineStr">
        <x:is>
          <x:t xml:space="preserve">예상하지 못한 서버 오류</x:t>
        </x:is>
      </x:c>
      <x:c r="D31" s="48" t="inlineStr">
        <x:is>
          <x:t xml:space="preserve">재시도 안내 후 지속 시 오류 정보 전달</x:t>
        </x:is>
      </x:c>
      <x:c r="E31" s="72" t="inlineStr">
        <x:is>
          <x:t xml:space="preserve">현재 구현</x:t>
        </x:is>
      </x:c>
    </x:row>
  </x:sheetData>
  <x:mergeCells>
    <x:mergeCell ref="A4:H4"/>
    <x:mergeCell ref="A26:H26"/>
    <x:mergeCell ref="A16:H16"/>
    <x:mergeCell ref="A10:H10"/>
    <x:mergeCell ref="B2:H2"/>
    <x:mergeCell ref="A11:H11"/>
    <x:mergeCell ref="A13:H13"/>
    <x:mergeCell ref="A14:H14"/>
    <x:mergeCell ref="A1:H1"/>
    <x:mergeCell ref="A22:H22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b3abba55101146f0"/>
    <x:tablePart xmlns:r="http://schemas.openxmlformats.org/officeDocument/2006/relationships" r:id="R33e9ab26a94d4896"/>
    <x:tablePart xmlns:r="http://schemas.openxmlformats.org/officeDocument/2006/relationships" r:id="Rc870e71ec2f2421e"/>
  </x:tableParts>
</x:worksheet>
</file>

<file path=xl/worksheets/sheet30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20" customWidth="1"/>
    <x:col min="4" max="4" width="42" customWidth="1"/>
    <x:col min="5" max="5" width="18" customWidth="1"/>
    <x:col min="6" max="6" width="30" customWidth="1"/>
    <x:col min="7" max="7" width="18" customWidth="1"/>
    <x:col min="8" max="8" width="30" customWidth="1"/>
  </x:cols>
  <x:sheetData>
    <x:row r="1" ht="36" customHeight="1">
      <x:c r="A1" s="111" t="inlineStr">
        <x:is>
          <x:t xml:space="preserve">API-029  ·  대화 메시지 조회</x:t>
        </x:is>
      </x:c>
      <x:c r="B1" s="106" t="n"/>
      <x:c r="C1" s="106" t="n"/>
      <x:c r="D1" s="106" t="n"/>
      <x:c r="E1" s="106" t="n"/>
      <x:c r="F1" s="106" t="n"/>
      <x:c r="G1" s="106" t="n"/>
      <x:c r="H1" s="106" t="n"/>
    </x:row>
    <x:row r="2">
      <x:c r="A2" s="51" t="str">
        <x:f>IFERROR(HYPERLINK("#'API 목차'!A1","← API 목차로 돌아가기"),"← API 목차로 돌아가기")</x:f>
        <x:v>← API 목차로 돌아가기</x:v>
      </x:c>
      <x:c r="B2" s="112" t="inlineStr">
        <x:is>
          <x:t xml:space="preserve">GET /interview-threads/{threadId}/messages</x:t>
        </x:is>
      </x:c>
      <x:c r="C2" s="106" t="n"/>
      <x:c r="D2" s="106" t="n"/>
      <x:c r="E2" s="106" t="n"/>
      <x:c r="F2" s="106" t="n"/>
      <x:c r="G2" s="106" t="n"/>
      <x:c r="H2" s="106" t="n"/>
    </x:row>
    <x:row r="4" ht="24" customHeight="1">
      <x:c r="A4" s="113" t="inlineStr">
        <x:is>
          <x:t xml:space="preserve">API 개요</x:t>
        </x:is>
      </x:c>
      <x:c r="B4" s="106" t="n"/>
      <x:c r="C4" s="106" t="n"/>
      <x:c r="D4" s="106" t="n"/>
      <x:c r="E4" s="106" t="n"/>
      <x:c r="F4" s="106" t="n"/>
      <x:c r="G4" s="106" t="n"/>
      <x:c r="H4" s="106" t="n"/>
    </x:row>
    <x:row r="5">
      <x:c r="A5" s="76" t="inlineStr">
        <x:is>
          <x:t xml:space="preserve">Method</x:t>
        </x:is>
      </x:c>
      <x:c r="B5" s="46" t="inlineStr">
        <x:is>
          <x:t xml:space="preserve">GET</x:t>
        </x:is>
      </x:c>
      <x:c r="C5" s="82" t="inlineStr">
        <x:is>
          <x:t xml:space="preserve">Path</x:t>
        </x:is>
      </x:c>
      <x:c r="D5" s="46" t="inlineStr">
        <x:is>
          <x:t xml:space="preserve">/interview-threads/{threadId}/messages</x:t>
        </x:is>
      </x:c>
      <x:c r="E5" s="82" t="inlineStr">
        <x:is>
          <x:t xml:space="preserve">성공 상태</x:t>
        </x:is>
      </x:c>
      <x:c r="F5" s="46" t="inlineStr">
        <x:is>
          <x:t xml:space="preserve">200 OK</x:t>
        </x:is>
      </x:c>
      <x:c r="G5" s="82" t="inlineStr">
        <x:is>
          <x:t xml:space="preserve">가용 상태</x:t>
        </x:is>
      </x:c>
      <x:c r="H5" s="68" t="inlineStr">
        <x:is>
          <x:t xml:space="preserve">사용 가능</x:t>
        </x:is>
      </x:c>
    </x:row>
    <x:row r="6">
      <x:c r="A6" s="77" t="inlineStr">
        <x:is>
          <x:t xml:space="preserve">기능</x:t>
        </x:is>
      </x:c>
      <x:c r="B6" s="47" t="inlineStr">
        <x:is>
          <x:t xml:space="preserve">대화 메시지 조회</x:t>
        </x:is>
      </x:c>
      <x:c r="C6" s="83" t="n"/>
      <x:c r="D6" s="47" t="n"/>
      <x:c r="E6" s="83" t="inlineStr">
        <x:is>
          <x:t xml:space="preserve">인증</x:t>
        </x:is>
      </x:c>
      <x:c r="F6" s="47" t="inlineStr">
        <x:is>
          <x:t xml:space="preserve">access_token 쿠키 필요 (인증 미구현)</x:t>
        </x:is>
      </x:c>
      <x:c r="G6" s="83" t="inlineStr">
        <x:is>
          <x:t xml:space="preserve">CSRF</x:t>
        </x:is>
      </x:c>
      <x:c r="H6" s="70" t="inlineStr">
        <x:is>
          <x:t xml:space="preserve">불필요</x:t>
        </x:is>
      </x:c>
    </x:row>
    <x:row r="7">
      <x:c r="A7" s="77" t="inlineStr">
        <x:is>
          <x:t xml:space="preserve">FE 호출</x:t>
        </x:is>
      </x:c>
      <x:c r="B7" s="47" t="inlineStr">
        <x:is>
          <x:t xml:space="preserve">fetch/axios에서 credentials 포함</x:t>
        </x:is>
      </x:c>
      <x:c r="C7" s="83" t="n"/>
      <x:c r="D7" s="47" t="n"/>
      <x:c r="E7" s="83" t="n"/>
      <x:c r="F7" s="47" t="n"/>
      <x:c r="G7" s="83" t="n"/>
      <x:c r="H7" s="70" t="n"/>
    </x:row>
    <x:row r="8">
      <x:c r="A8" s="78" t="inlineStr">
        <x:is>
          <x:t xml:space="preserve">최근 변경</x:t>
        </x:is>
      </x:c>
      <x:c r="B8" s="114" t="n">
        <x:v>46218.92674768518</x:v>
      </x:c>
      <x:c r="C8" s="84" t="n"/>
      <x:c r="D8" s="48" t="n"/>
      <x:c r="E8" s="84" t="n"/>
      <x:c r="F8" s="48" t="n"/>
      <x:c r="G8" s="84" t="n"/>
      <x:c r="H8" s="72" t="n"/>
    </x:row>
    <x:row r="10" ht="24" customHeight="1">
      <x:c r="A10" s="113" t="inlineStr">
        <x:is>
          <x:t xml:space="preserve">실제 요청 형식 (HTTP Request)</x:t>
        </x:is>
      </x:c>
      <x:c r="B10" s="106" t="n"/>
      <x:c r="C10" s="106" t="n"/>
      <x:c r="D10" s="106" t="n"/>
      <x:c r="E10" s="106" t="n"/>
      <x:c r="F10" s="106" t="n"/>
      <x:c r="G10" s="106" t="n"/>
      <x:c r="H10" s="106" t="n"/>
    </x:row>
    <x:row r="11" ht="70" customHeight="1">
      <x:c r="A11" s="115" t="inlineStr">
        <x:is>
          <x:t xml:space="preserve">GET /interview-threads/it_01HZ.../messages HTTP/1.1
Accept: application/json
Cookie: access_token=&lt;access_token&gt;</x:t>
        </x:is>
      </x:c>
      <x:c r="B11" s="116" t="n"/>
      <x:c r="C11" s="116" t="n"/>
      <x:c r="D11" s="116" t="n"/>
      <x:c r="E11" s="116" t="n"/>
      <x:c r="F11" s="116" t="n"/>
      <x:c r="G11" s="116" t="n"/>
      <x:c r="H11" s="117" t="n"/>
    </x:row>
    <x:row r="13" ht="24" customHeight="1">
      <x:c r="A13" s="113" t="inlineStr">
        <x:is>
          <x:t xml:space="preserve">실제 성공 응답 형식 (HTTP Response)</x:t>
        </x:is>
      </x:c>
      <x:c r="B13" s="106" t="n"/>
      <x:c r="C13" s="106" t="n"/>
      <x:c r="D13" s="106" t="n"/>
      <x:c r="E13" s="106" t="n"/>
      <x:c r="F13" s="106" t="n"/>
      <x:c r="G13" s="106" t="n"/>
      <x:c r="H13" s="106" t="n"/>
    </x:row>
    <x:row r="14" ht="364" customHeight="1">
      <x:c r="A14" s="115" t="inlineStr">
        <x:is>
          <x:t xml:space="preserve">HTTP/1.1 200 OK
Content-Type: application/json
{
  "threadId": "it_01HZ...",
  "items": [
    {
      "id": "im_01HY...",
      "role": "USER",
      "content": "저는 프로젝트에서 API 설계를 담당했습니다.",
      "feedback": null,
      "score": null,
      "followUpQuestion": null,
      "createdAt": "2026-06-20T16:06:00"
    },
    {
      "id": "im_01HZ2...",
      "role": "ASSISTANT",
      "content": "답변에서 API 설계 경험은 드러났지만 성과와 의사결정 근거가 부족합니다. 이어서, 그 API 설계에서 가장 중요하게 고려한 트레이드오프는 무엇이었나요?",
      "feedback": {
        "summary": "역할은 명확하지만 성과와 판단 근거가 부족합니다.",
        "strengths": [
          "담당 역할을 구체적으로 언급했습니다."
        ],</x:t>
        </x:is>
      </x:c>
      <x:c r="B14" s="116" t="n"/>
      <x:c r="C14" s="116" t="n"/>
      <x:c r="D14" s="116" t="n"/>
      <x:c r="E14" s="116" t="n"/>
      <x:c r="F14" s="116" t="n"/>
      <x:c r="G14" s="116" t="n"/>
      <x:c r="H14" s="117" t="n"/>
    </x:row>
    <x:row r="15" ht="154" customHeight="1">
      <x:c r="A15" s="115" t="inlineStr">
        <x:is>
          <x:t xml:space="preserve">        "improvements": [
          "성과 지표와 문제 해결 과정을 보강하세요."
        ]
      },
      "score": 78,
      "followUpQuestion": "그 API 설계에서 가장 중요하게 고려한 트레이드오프는 무엇이었나요?",
      "createdAt": "2026-06-20T16:06:00"
    }
  ]
}</x:t>
        </x:is>
      </x:c>
      <x:c r="B15" s="116" t="n"/>
      <x:c r="C15" s="116" t="n"/>
      <x:c r="D15" s="116" t="n"/>
      <x:c r="E15" s="116" t="n"/>
      <x:c r="F15" s="116" t="n"/>
      <x:c r="G15" s="116" t="n"/>
      <x:c r="H15" s="117" t="n"/>
    </x:row>
    <x:row r="17" ht="24" customHeight="1">
      <x:c r="A17" s="113" t="inlineStr">
        <x:is>
          <x:t xml:space="preserve">요청 필드 설명</x:t>
        </x:is>
      </x:c>
      <x:c r="B17" s="106" t="n"/>
      <x:c r="C17" s="106" t="n"/>
      <x:c r="D17" s="106" t="n"/>
      <x:c r="E17" s="106" t="n"/>
      <x:c r="F17" s="106" t="n"/>
      <x:c r="G17" s="106" t="n"/>
      <x:c r="H17" s="106" t="n"/>
    </x:row>
    <x:row r="18">
      <x:c r="A18" s="9" t="inlineStr">
        <x:is>
          <x:t xml:space="preserve">위치</x:t>
        </x:is>
      </x:c>
      <x:c r="B18" s="10" t="inlineStr">
        <x:is>
          <x:t xml:space="preserve">필드 경로</x:t>
        </x:is>
      </x:c>
      <x:c r="C18" s="10" t="inlineStr">
        <x:is>
          <x:t xml:space="preserve">타입</x:t>
        </x:is>
      </x:c>
      <x:c r="D18" s="10" t="inlineStr">
        <x:is>
          <x:t xml:space="preserve">필수 여부</x:t>
        </x:is>
      </x:c>
      <x:c r="E18" s="11" t="inlineStr">
        <x:is>
          <x:t xml:space="preserve">의미·제약</x:t>
        </x:is>
      </x:c>
    </x:row>
    <x:row r="19">
      <x:c r="A19" s="67" t="inlineStr">
        <x:is>
          <x:t xml:space="preserve">path</x:t>
        </x:is>
      </x:c>
      <x:c r="B19" s="46" t="inlineStr">
        <x:is>
          <x:t xml:space="preserve">threadId</x:t>
        </x:is>
      </x:c>
      <x:c r="C19" s="46" t="inlineStr">
        <x:is>
          <x:t xml:space="preserve">string</x:t>
        </x:is>
      </x:c>
      <x:c r="D19" s="46" t="inlineStr">
        <x:is>
          <x:t xml:space="preserve">필수</x:t>
        </x:is>
      </x:c>
      <x:c r="E19" s="68" t="inlineStr">
        <x:is>
          <x:t xml:space="preserve">면접 질문별 대화방 ID</x:t>
        </x:is>
      </x:c>
    </x:row>
    <x:row r="20">
      <x:c r="A20" s="71" t="inlineStr">
        <x:is>
          <x:t xml:space="preserve">cookie</x:t>
        </x:is>
      </x:c>
      <x:c r="B20" s="48" t="inlineStr">
        <x:is>
          <x:t xml:space="preserve">access_token</x:t>
        </x:is>
      </x:c>
      <x:c r="C20" s="48" t="inlineStr">
        <x:is>
          <x:t xml:space="preserve">string</x:t>
        </x:is>
      </x:c>
      <x:c r="D20" s="48" t="inlineStr">
        <x:is>
          <x:t xml:space="preserve">계약상 필수 (현재 미검증)</x:t>
        </x:is>
      </x:c>
      <x:c r="E20" s="72" t="inlineStr">
        <x:is>
          <x:t xml:space="preserve">현재 사용자 인증 cookie</x:t>
        </x:is>
      </x:c>
    </x:row>
    <x:row r="22" ht="24" customHeight="1">
      <x:c r="A22" s="113" t="inlineStr">
        <x:is>
          <x:t xml:space="preserve">응답 필드 설명</x:t>
        </x:is>
      </x:c>
      <x:c r="B22" s="106" t="n"/>
      <x:c r="C22" s="106" t="n"/>
      <x:c r="D22" s="106" t="n"/>
      <x:c r="E22" s="106" t="n"/>
      <x:c r="F22" s="106" t="n"/>
      <x:c r="G22" s="106" t="n"/>
      <x:c r="H22" s="106" t="n"/>
    </x:row>
    <x:row r="23">
      <x:c r="A23" s="9" t="inlineStr">
        <x:is>
          <x:t xml:space="preserve">필드 경로</x:t>
        </x:is>
      </x:c>
      <x:c r="B23" s="10" t="inlineStr">
        <x:is>
          <x:t xml:space="preserve">타입</x:t>
        </x:is>
      </x:c>
      <x:c r="C23" s="10" t="inlineStr">
        <x:is>
          <x:t xml:space="preserve">필수/nullable</x:t>
        </x:is>
      </x:c>
      <x:c r="D23" s="11" t="inlineStr">
        <x:is>
          <x:t xml:space="preserve">필드 의미</x:t>
        </x:is>
      </x:c>
    </x:row>
    <x:row r="24">
      <x:c r="A24" s="67" t="inlineStr">
        <x:is>
          <x:t xml:space="preserve">threadId</x:t>
        </x:is>
      </x:c>
      <x:c r="B24" s="46" t="inlineStr">
        <x:is>
          <x:t xml:space="preserve">string</x:t>
        </x:is>
      </x:c>
      <x:c r="C24" s="46" t="inlineStr">
        <x:is>
          <x:t xml:space="preserve">필수</x:t>
        </x:is>
      </x:c>
      <x:c r="D24" s="68" t="inlineStr">
        <x:is>
          <x:t xml:space="preserve">면접 대화방 ID</x:t>
        </x:is>
      </x:c>
    </x:row>
    <x:row r="25">
      <x:c r="A25" s="69" t="inlineStr">
        <x:is>
          <x:t xml:space="preserve">items</x:t>
        </x:is>
      </x:c>
      <x:c r="B25" s="47" t="inlineStr">
        <x:is>
          <x:t xml:space="preserve">array</x:t>
        </x:is>
      </x:c>
      <x:c r="C25" s="47" t="inlineStr">
        <x:is>
          <x:t xml:space="preserve">필수</x:t>
        </x:is>
      </x:c>
      <x:c r="D25" s="70" t="inlineStr">
        <x:is>
          <x:t xml:space="preserve">목록 항목 배열</x:t>
        </x:is>
      </x:c>
    </x:row>
    <x:row r="26">
      <x:c r="A26" s="69" t="inlineStr">
        <x:is>
          <x:t xml:space="preserve">items[].id</x:t>
        </x:is>
      </x:c>
      <x:c r="B26" s="47" t="inlineStr">
        <x:is>
          <x:t xml:space="preserve">string</x:t>
        </x:is>
      </x:c>
      <x:c r="C26" s="47" t="inlineStr">
        <x:is>
          <x:t xml:space="preserve">필수</x:t>
        </x:is>
      </x:c>
      <x:c r="D26" s="70" t="inlineStr">
        <x:is>
          <x:t xml:space="preserve">리소스 고유 ID</x:t>
        </x:is>
      </x:c>
    </x:row>
    <x:row r="27">
      <x:c r="A27" s="69" t="inlineStr">
        <x:is>
          <x:t xml:space="preserve">items[].role</x:t>
        </x:is>
      </x:c>
      <x:c r="B27" s="47" t="inlineStr">
        <x:is>
          <x:t xml:space="preserve">string</x:t>
        </x:is>
      </x:c>
      <x:c r="C27" s="47" t="inlineStr">
        <x:is>
          <x:t xml:space="preserve">필수</x:t>
        </x:is>
      </x:c>
      <x:c r="D27" s="70" t="inlineStr">
        <x:is>
          <x:t xml:space="preserve">메시지 작성자 역할; 허용값: USER | ASSISTANT. USER이면 feedback/score/followUpQuestion=null, ASSISTANT이면 모두 필수</x:t>
        </x:is>
      </x:c>
    </x:row>
    <x:row r="28">
      <x:c r="A28" s="69" t="inlineStr">
        <x:is>
          <x:t xml:space="preserve">items[].content</x:t>
        </x:is>
      </x:c>
      <x:c r="B28" s="47" t="inlineStr">
        <x:is>
          <x:t xml:space="preserve">string</x:t>
        </x:is>
      </x:c>
      <x:c r="C28" s="47" t="inlineStr">
        <x:is>
          <x:t xml:space="preserve">필수</x:t>
        </x:is>
      </x:c>
      <x:c r="D28" s="70" t="inlineStr">
        <x:is>
          <x:t xml:space="preserve">면접 대화 메시지 내용</x:t>
        </x:is>
      </x:c>
    </x:row>
    <x:row r="29">
      <x:c r="A29" s="69" t="inlineStr">
        <x:is>
          <x:t xml:space="preserve">items[].feedback</x:t>
        </x:is>
      </x:c>
      <x:c r="B29" s="47" t="inlineStr">
        <x:is>
          <x:t xml:space="preserve">object</x:t>
        </x:is>
      </x:c>
      <x:c r="C29" s="47" t="inlineStr">
        <x:is>
          <x:t xml:space="preserve">ASSISTANT일 때 필수, USER일 때 null</x:t>
        </x:is>
      </x:c>
      <x:c r="D29" s="70" t="inlineStr">
        <x:is>
          <x:t xml:space="preserve">면접 답변에 대한 구조화된 피드백</x:t>
        </x:is>
      </x:c>
    </x:row>
    <x:row r="30">
      <x:c r="A30" s="69" t="inlineStr">
        <x:is>
          <x:t xml:space="preserve">items[].score</x:t>
        </x:is>
      </x:c>
      <x:c r="B30" s="47" t="inlineStr">
        <x:is>
          <x:t xml:space="preserve">integer</x:t>
        </x:is>
      </x:c>
      <x:c r="C30" s="47" t="inlineStr">
        <x:is>
          <x:t xml:space="preserve">ASSISTANT일 때 필수</x:t>
        </x:is>
      </x:c>
      <x:c r="D30" s="70" t="inlineStr">
        <x:is>
          <x:t xml:space="preserve">답변 보조 점수; 1~100</x:t>
        </x:is>
      </x:c>
    </x:row>
    <x:row r="31">
      <x:c r="A31" s="69" t="inlineStr">
        <x:is>
          <x:t xml:space="preserve">items[].followUpQuestion</x:t>
        </x:is>
      </x:c>
      <x:c r="B31" s="47" t="inlineStr">
        <x:is>
          <x:t xml:space="preserve">string</x:t>
        </x:is>
      </x:c>
      <x:c r="C31" s="47" t="inlineStr">
        <x:is>
          <x:t xml:space="preserve">ASSISTANT일 때 필수</x:t>
        </x:is>
      </x:c>
      <x:c r="D31" s="70" t="inlineStr">
        <x:is>
          <x:t xml:space="preserve">후속 면접 질문</x:t>
        </x:is>
      </x:c>
    </x:row>
    <x:row r="32">
      <x:c r="A32" s="69" t="inlineStr">
        <x:is>
          <x:t xml:space="preserve">items[].createdAt</x:t>
        </x:is>
      </x:c>
      <x:c r="B32" s="47" t="inlineStr">
        <x:is>
          <x:t xml:space="preserve">string</x:t>
        </x:is>
      </x:c>
      <x:c r="C32" s="47" t="inlineStr">
        <x:is>
          <x:t xml:space="preserve">필수</x:t>
        </x:is>
      </x:c>
      <x:c r="D32" s="70" t="inlineStr">
        <x:is>
          <x:t xml:space="preserve">생성 일시</x:t>
        </x:is>
      </x:c>
    </x:row>
    <x:row r="33">
      <x:c r="A33" s="69" t="inlineStr">
        <x:is>
          <x:t xml:space="preserve">items[].feedback.summary</x:t>
        </x:is>
      </x:c>
      <x:c r="B33" s="47" t="inlineStr">
        <x:is>
          <x:t xml:space="preserve">string</x:t>
        </x:is>
      </x:c>
      <x:c r="C33" s="47" t="inlineStr">
        <x:is>
          <x:t xml:space="preserve">ASSISTANT일 때 필수</x:t>
        </x:is>
      </x:c>
      <x:c r="D33" s="70" t="inlineStr">
        <x:is>
          <x:t xml:space="preserve">피드백 요약</x:t>
        </x:is>
      </x:c>
    </x:row>
    <x:row r="34">
      <x:c r="A34" s="69" t="inlineStr">
        <x:is>
          <x:t xml:space="preserve">items[].feedback.strengths</x:t>
        </x:is>
      </x:c>
      <x:c r="B34" s="47" t="inlineStr">
        <x:is>
          <x:t xml:space="preserve">array</x:t>
        </x:is>
      </x:c>
      <x:c r="C34" s="47" t="inlineStr">
        <x:is>
          <x:t xml:space="preserve">ASSISTANT일 때 필수</x:t>
        </x:is>
      </x:c>
      <x:c r="D34" s="70" t="inlineStr">
        <x:is>
          <x:t xml:space="preserve">답변의 강점 목록</x:t>
        </x:is>
      </x:c>
    </x:row>
    <x:row r="35">
      <x:c r="A35" s="71" t="inlineStr">
        <x:is>
          <x:t xml:space="preserve">items[].feedback.improvements</x:t>
        </x:is>
      </x:c>
      <x:c r="B35" s="48" t="inlineStr">
        <x:is>
          <x:t xml:space="preserve">array</x:t>
        </x:is>
      </x:c>
      <x:c r="C35" s="48" t="inlineStr">
        <x:is>
          <x:t xml:space="preserve">ASSISTANT일 때 필수</x:t>
        </x:is>
      </x:c>
      <x:c r="D35" s="72" t="inlineStr">
        <x:is>
          <x:t xml:space="preserve">개선할 점 목록</x:t>
        </x:is>
      </x:c>
    </x:row>
    <x:row r="37" ht="24" customHeight="1">
      <x:c r="A37" s="113" t="inlineStr">
        <x:is>
          <x:t xml:space="preserve">오류 응답</x:t>
        </x:is>
      </x:c>
      <x:c r="B37" s="106" t="n"/>
      <x:c r="C37" s="106" t="n"/>
      <x:c r="D37" s="106" t="n"/>
      <x:c r="E37" s="106" t="n"/>
      <x:c r="F37" s="106" t="n"/>
      <x:c r="G37" s="106" t="n"/>
      <x:c r="H37" s="106" t="n"/>
    </x:row>
    <x:row r="38">
      <x:c r="A38" s="9" t="inlineStr">
        <x:is>
          <x:t xml:space="preserve">HTTP 상태</x:t>
        </x:is>
      </x:c>
      <x:c r="B38" s="10" t="inlineStr">
        <x:is>
          <x:t xml:space="preserve">오류 코드</x:t>
        </x:is>
      </x:c>
      <x:c r="C38" s="10" t="inlineStr">
        <x:is>
          <x:t xml:space="preserve">발생 조건</x:t>
        </x:is>
      </x:c>
      <x:c r="D38" s="10" t="inlineStr">
        <x:is>
          <x:t xml:space="preserve">프론트 처리</x:t>
        </x:is>
      </x:c>
      <x:c r="E38" s="11" t="inlineStr">
        <x:is>
          <x:t xml:space="preserve">현재 상태</x:t>
        </x:is>
      </x:c>
    </x:row>
    <x:row r="39">
      <x:c r="A39" s="67" t="inlineStr">
        <x:is>
          <x:t xml:space="preserve">404 Not Found</x:t>
        </x:is>
      </x:c>
      <x:c r="B39" s="46" t="inlineStr">
        <x:is>
          <x:t xml:space="preserve">NOT_FOUND</x:t>
        </x:is>
      </x:c>
      <x:c r="C39" s="46" t="inlineStr">
        <x:is>
          <x:t xml:space="preserve">대상이 없거나 접근 권한이 없음</x:t>
        </x:is>
      </x:c>
      <x:c r="D39" s="46" t="inlineStr">
        <x:is>
          <x:t xml:space="preserve">목록으로 이동하거나 삭제 상태 반영</x:t>
        </x:is>
      </x:c>
      <x:c r="E39" s="68" t="inlineStr">
        <x:is>
          <x:t xml:space="preserve">현재 구현</x:t>
        </x:is>
      </x:c>
    </x:row>
    <x:row r="40">
      <x:c r="A40" s="69" t="inlineStr">
        <x:is>
          <x:t xml:space="preserve">401 Unauthorized</x:t>
        </x:is>
      </x:c>
      <x:c r="B40" s="47" t="inlineStr">
        <x:is>
          <x:t xml:space="preserve">UNAUTHORIZED</x:t>
        </x:is>
      </x:c>
      <x:c r="C40" s="47" t="inlineStr">
        <x:is>
          <x:t xml:space="preserve">인증 쿠키가 없거나 유효하지 않음</x:t>
        </x:is>
      </x:c>
      <x:c r="D40" s="47" t="inlineStr">
        <x:is>
          <x:t xml:space="preserve">로그인 화면으로 이동</x:t>
        </x:is>
      </x:c>
      <x:c r="E40" s="70" t="inlineStr">
        <x:is>
          <x:t xml:space="preserve">계약 정의·인증 미구현</x:t>
        </x:is>
      </x:c>
    </x:row>
    <x:row r="41">
      <x:c r="A41" s="71" t="inlineStr">
        <x:is>
          <x:t xml:space="preserve">500 Internal Server Error</x:t>
        </x:is>
      </x:c>
      <x:c r="B41" s="48" t="inlineStr">
        <x:is>
          <x:t xml:space="preserve">INTERNAL_ERROR</x:t>
        </x:is>
      </x:c>
      <x:c r="C41" s="48" t="inlineStr">
        <x:is>
          <x:t xml:space="preserve">예상하지 못한 서버 오류</x:t>
        </x:is>
      </x:c>
      <x:c r="D41" s="48" t="inlineStr">
        <x:is>
          <x:t xml:space="preserve">재시도 안내 후 지속 시 오류 정보 전달</x:t>
        </x:is>
      </x:c>
      <x:c r="E41" s="72" t="inlineStr">
        <x:is>
          <x:t xml:space="preserve">현재 구현</x:t>
        </x:is>
      </x:c>
    </x:row>
  </x:sheetData>
  <x:mergeCells>
    <x:mergeCell ref="A4:H4"/>
    <x:mergeCell ref="A15:H15"/>
    <x:mergeCell ref="A10:H10"/>
    <x:mergeCell ref="B2:H2"/>
    <x:mergeCell ref="A11:H11"/>
    <x:mergeCell ref="A13:H13"/>
    <x:mergeCell ref="A14:H14"/>
    <x:mergeCell ref="A1:H1"/>
    <x:mergeCell ref="A37:H37"/>
    <x:mergeCell ref="A22:H22"/>
    <x:mergeCell ref="A17:H17"/>
  </x:mergeCells>
  <x:pageMargins left="0.7" right="0.7" top="0.75" bottom="0.75" header="0.3" footer="0.3"/>
  <x:pageSetup paperSize="9" orientation="landscape" fitToWidth="1" fitToHeight="0"/>
  <x:tableParts count="3">
    <x:tablePart xmlns:r="http://schemas.openxmlformats.org/officeDocument/2006/relationships" r:id="R26b16c47a148419a"/>
    <x:tablePart xmlns:r="http://schemas.openxmlformats.org/officeDocument/2006/relationships" r:id="R3c5c2697b8f242e3"/>
    <x:tablePart xmlns:r="http://schemas.openxmlformats.org/officeDocument/2006/relationships" r:id="R999ea0ca88e548d0"/>
  </x:tableParts>
</x:worksheet>
</file>