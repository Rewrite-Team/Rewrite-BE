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7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0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1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2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worksheets/sheet21.xml" ContentType="application/vnd.openxmlformats-officedocument.spreadsheetml.worksheet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4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worksheets/sheet27.xml" ContentType="application/vnd.openxmlformats-officedocument.spreadsheetml.worksheet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28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worksheets/sheet29.xml" ContentType="application/vnd.openxmlformats-officedocument.spreadsheetml.worksheet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30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b2be3408b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차" sheetId="1" r:id="Re814553d55304a39"/>
    <x:sheet xmlns:r="http://schemas.openxmlformats.org/officeDocument/2006/relationships" name="API-001" sheetId="2" r:id="Rdba9e0995b4545bd"/>
    <x:sheet xmlns:r="http://schemas.openxmlformats.org/officeDocument/2006/relationships" name="API-002" sheetId="3" r:id="R9a37bc078adc4ee2"/>
    <x:sheet xmlns:r="http://schemas.openxmlformats.org/officeDocument/2006/relationships" name="API-003" sheetId="4" r:id="R71b6d4112fe14d49"/>
    <x:sheet xmlns:r="http://schemas.openxmlformats.org/officeDocument/2006/relationships" name="API-004" sheetId="5" r:id="R415a38c4640e4fd1"/>
    <x:sheet xmlns:r="http://schemas.openxmlformats.org/officeDocument/2006/relationships" name="API-005" sheetId="6" r:id="R81e655735b8c4315"/>
    <x:sheet xmlns:r="http://schemas.openxmlformats.org/officeDocument/2006/relationships" name="API-006" sheetId="7" r:id="R13b72e889b0f4eaa"/>
    <x:sheet xmlns:r="http://schemas.openxmlformats.org/officeDocument/2006/relationships" name="API-007" sheetId="8" r:id="R8e6e2c7c3c97465c"/>
    <x:sheet xmlns:r="http://schemas.openxmlformats.org/officeDocument/2006/relationships" name="API-008" sheetId="9" r:id="Re8b7a6321a9d4b25"/>
    <x:sheet xmlns:r="http://schemas.openxmlformats.org/officeDocument/2006/relationships" name="API-009" sheetId="10" r:id="Rd320dd20789c47c9"/>
    <x:sheet xmlns:r="http://schemas.openxmlformats.org/officeDocument/2006/relationships" name="API-010" sheetId="11" r:id="R347add2b48fd4363"/>
    <x:sheet xmlns:r="http://schemas.openxmlformats.org/officeDocument/2006/relationships" name="API-011" sheetId="12" r:id="R51bd8ba307e94292"/>
    <x:sheet xmlns:r="http://schemas.openxmlformats.org/officeDocument/2006/relationships" name="API-012" sheetId="13" r:id="R6cd9e55325c749fd"/>
    <x:sheet xmlns:r="http://schemas.openxmlformats.org/officeDocument/2006/relationships" name="API-013" sheetId="14" r:id="R019e54cbc85f4e1e"/>
    <x:sheet xmlns:r="http://schemas.openxmlformats.org/officeDocument/2006/relationships" name="API-014" sheetId="15" r:id="Rf954b27e82004f43"/>
    <x:sheet xmlns:r="http://schemas.openxmlformats.org/officeDocument/2006/relationships" name="API-015" sheetId="16" r:id="R3fc9403b52a24758"/>
    <x:sheet xmlns:r="http://schemas.openxmlformats.org/officeDocument/2006/relationships" name="API-016" sheetId="17" r:id="Rd91d090f98a44ba6"/>
    <x:sheet xmlns:r="http://schemas.openxmlformats.org/officeDocument/2006/relationships" name="API-017" sheetId="18" r:id="Rf3956b29fa074f16"/>
    <x:sheet xmlns:r="http://schemas.openxmlformats.org/officeDocument/2006/relationships" name="API-018" sheetId="19" r:id="Rb7fa215a50ab40e0"/>
    <x:sheet xmlns:r="http://schemas.openxmlformats.org/officeDocument/2006/relationships" name="API-019" sheetId="20" r:id="R00b285d1bae6497c"/>
    <x:sheet xmlns:r="http://schemas.openxmlformats.org/officeDocument/2006/relationships" name="API-020" sheetId="21" r:id="Rff3557cc99a54d87"/>
    <x:sheet xmlns:r="http://schemas.openxmlformats.org/officeDocument/2006/relationships" name="API-021" sheetId="22" r:id="Rf0a2c0e839ba47ac"/>
    <x:sheet xmlns:r="http://schemas.openxmlformats.org/officeDocument/2006/relationships" name="API-022" sheetId="23" r:id="R31b4553a5fd64892"/>
    <x:sheet xmlns:r="http://schemas.openxmlformats.org/officeDocument/2006/relationships" name="API-023" sheetId="24" r:id="Rb4226e7c2d9a4c62"/>
    <x:sheet xmlns:r="http://schemas.openxmlformats.org/officeDocument/2006/relationships" name="API-024" sheetId="25" r:id="R16fa1fc049fd446d"/>
    <x:sheet xmlns:r="http://schemas.openxmlformats.org/officeDocument/2006/relationships" name="API-025" sheetId="26" r:id="R2c5ca338925348c0"/>
    <x:sheet xmlns:r="http://schemas.openxmlformats.org/officeDocument/2006/relationships" name="API-026" sheetId="27" r:id="R40523ccf7ef8497e"/>
    <x:sheet xmlns:r="http://schemas.openxmlformats.org/officeDocument/2006/relationships" name="API-027" sheetId="28" r:id="R1e281c7947b840ad"/>
    <x:sheet xmlns:r="http://schemas.openxmlformats.org/officeDocument/2006/relationships" name="API-028" sheetId="29" r:id="R2e1ffa4ad1014296"/>
    <x:sheet xmlns:r="http://schemas.openxmlformats.org/officeDocument/2006/relationships" name="API-029" sheetId="30" r:id="R2ebc9dfddd2c44e6"/>
    <x:sheet xmlns:r="http://schemas.openxmlformats.org/officeDocument/2006/relationships" name="API-030" sheetId="31" r:id="R005372c2882b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95959"/>
      <x:name val="Carlito"/>
    </x:font>
    <x:font>
      <x:b/>
      <x:sz val="11"/>
      <x:color rgb="FF222222"/>
      <x:name val="Carlito"/>
    </x:font>
    <x:font>
      <x:b/>
      <x:sz val="11"/>
      <x:color rgb="FF595959"/>
      <x:name val="Carlito"/>
    </x:font>
    <x:font>
      <x:b/>
      <x:sz val="18"/>
      <x:color rgb="FFFFFFFF"/>
      <x:name val="Carlito"/>
    </x:font>
    <x:font>
      <x:b/>
      <x:sz val="11"/>
      <x:color rgb="FF3F3F3F"/>
      <x:name val="Carlito"/>
    </x:font>
    <x:font>
      <x:b/>
      <x:sz val="12"/>
      <x:color rgb="FFFFFFFF"/>
      <x:name val="Carlito"/>
    </x:font>
    <x:font>
      <x:sz val="9"/>
      <x:color rgb="FF222222"/>
      <x:name val="Carlito"/>
    </x:font>
    <x:font>
      <x:sz val="18"/>
      <x:color rgb="FFFFFFFF"/>
      <x:name val="Carlito"/>
    </x:font>
    <x:font>
      <x:sz val="10"/>
      <x:color rgb="FF666666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sz val="10"/>
      <x:color rgb="FF1F1F1F"/>
      <x:name val="Carlito"/>
    </x:font>
    <x:font>
      <x:sz val="9"/>
      <x:color rgb="FF1F1F1F"/>
      <x:name val="Menlo"/>
    </x:font>
    <x:font>
      <x:b/>
      <x:sz val="10"/>
      <x:color rgb="FF1F1F1F"/>
      <x:name val="Carlito"/>
    </x:font>
    <x:font>
      <x:sz val="18"/>
      <x:color rgb="FFFFFFFF"/>
      <x:name val="Carlito"/>
    </x:font>
    <x:font>
      <x:sz val="10"/>
      <x:color rgb="FF1F1F1F"/>
      <x:name val="Carlito"/>
    </x:font>
    <x:font>
      <x:sz val="18"/>
      <x:color rgb="FFFFFFFF"/>
      <x:name val="Carlito"/>
    </x:font>
    <x:font>
      <x:sz val="10"/>
      <x:color rgb="FF1F1F1F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3F3F3F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595959"/>
      </x:patternFill>
    </x:fill>
    <x:fill>
      <x:patternFill patternType="solid">
        <x:fgColor rgb="FF3F3F3F"/>
      </x:patternFill>
    </x:fill>
    <x:fill>
      <x:patternFill patternType="solid">
        <x:fgColor rgb="FFF3F3F3"/>
      </x:patternFill>
    </x:fill>
    <x:fill>
      <x:patternFill patternType="solid">
        <x:fgColor rgb="FF5B5B5B"/>
      </x:patternFill>
    </x:fill>
    <x:fill>
      <x:patternFill patternType="solid">
        <x:fgColor rgb="FFE7E7E7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3F3F3F"/>
      </x:patternFill>
    </x:fill>
    <x:fill>
      <x:patternFill patternType="solid">
        <x:fgColor rgb="FFF3F3F3"/>
      </x:patternFill>
    </x:fill>
    <x:fill>
      <x:patternFill patternType="solid">
        <x:fgColor rgb="FF5B5B5B"/>
      </x:patternFill>
    </x:fill>
    <x:fill>
      <x:patternFill patternType="solid">
        <x:fgColor rgb="FFE7E7E7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3F3F3F"/>
      </x:patternFill>
    </x:fill>
    <x:fill>
      <x:patternFill patternType="solid">
        <x:fgColor rgb="FFF3F3F3"/>
      </x:patternFill>
    </x:fill>
    <x:fill>
      <x:patternFill patternType="solid">
        <x:fgColor rgb="FF5B5B5B"/>
      </x:patternFill>
    </x:fill>
    <x:fill>
      <x:patternFill patternType="solid">
        <x:fgColor rgb="FFE7E7E7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23">
    <x:border/>
    <x:border/>
    <x:border/>
    <x:border/>
    <x:border/>
    <x:border/>
    <x:border/>
    <x:border/>
    <x:border/>
    <x:border/>
    <x:border/>
    <x:border/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8"/>
  </x:cellStyleXfs>
  <x:cellXfs count="23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1" xfId="0"/>
    <x:xf numFmtId="0" fontId="3" fillId="4" borderId="2" xfId="0"/>
    <x:xf numFmtId="0" fontId="3" fillId="4" borderId="3" xfId="0"/>
    <x:xf numFmtId="0" fontId="0" fillId="5" borderId="0" xfId="0"/>
    <x:xf numFmtId="0" fontId="0" fillId="5" borderId="4" xfId="0"/>
    <x:xf numFmtId="0" fontId="0" fillId="5" borderId="5" xfId="0"/>
    <x:xf numFmtId="0" fontId="0" fillId="5" borderId="6" xfId="0"/>
    <x:xf numFmtId="0" fontId="0" fillId="5" borderId="7" xfId="0"/>
    <x:xf numFmtId="0" fontId="0" fillId="5" borderId="8" xfId="0"/>
    <x:xf numFmtId="0" fontId="0" fillId="5" borderId="9" xfId="0"/>
    <x:xf numFmtId="0" fontId="0" fillId="5" borderId="10" xfId="0"/>
    <x:xf numFmtId="0" fontId="0" fillId="5" borderId="11" xfId="0"/>
    <x:xf numFmtId="0" fontId="0" fillId="5" borderId="12" xfId="0"/>
    <x:xf numFmtId="0" fontId="4" fillId="5" borderId="4" xfId="0"/>
    <x:xf numFmtId="0" fontId="4" fillId="5" borderId="7" xfId="0"/>
    <x:xf numFmtId="0" fontId="4" fillId="5" borderId="10" xfId="0"/>
    <x:xf numFmtId="0" fontId="4" fillId="5" borderId="6" xfId="0"/>
    <x:xf numFmtId="0" fontId="4" fillId="5" borderId="9" xfId="0"/>
    <x:xf numFmtId="0" fontId="4" fillId="5" borderId="12" xfId="0"/>
    <x:xf numFmtId="164" fontId="0" fillId="5" borderId="5" xfId="0"/>
    <x:xf numFmtId="164" fontId="0" fillId="5" borderId="8" xfId="0"/>
    <x:xf numFmtId="164" fontId="0" fillId="5" borderId="11" xfId="0"/>
    <x:xf numFmtId="0" fontId="3" fillId="4" borderId="1" xfId="0" applyAlignment="1">
      <x:alignment vertical="top"/>
    </x:xf>
    <x:xf numFmtId="0" fontId="3" fillId="4" borderId="2" xfId="0" applyAlignment="1">
      <x:alignment vertical="top"/>
    </x:xf>
    <x:xf numFmtId="0" fontId="3" fillId="4" borderId="3" xfId="0" applyAlignment="1">
      <x:alignment vertical="top"/>
    </x:xf>
    <x:xf numFmtId="0" fontId="4" fillId="5" borderId="4" xfId="0" applyAlignment="1">
      <x:alignment vertical="top"/>
    </x:xf>
    <x:xf numFmtId="0" fontId="0" fillId="5" borderId="5" xfId="0" applyAlignment="1">
      <x:alignment vertical="top"/>
    </x:xf>
    <x:xf numFmtId="164" fontId="0" fillId="5" borderId="5" xfId="0" applyAlignment="1">
      <x:alignment vertical="top"/>
    </x:xf>
    <x:xf numFmtId="0" fontId="4" fillId="5" borderId="6" xfId="0" applyAlignment="1">
      <x:alignment vertical="top"/>
    </x:xf>
    <x:xf numFmtId="0" fontId="4" fillId="5" borderId="7" xfId="0" applyAlignment="1">
      <x:alignment vertical="top"/>
    </x:xf>
    <x:xf numFmtId="0" fontId="0" fillId="5" borderId="8" xfId="0" applyAlignment="1">
      <x:alignment vertical="top"/>
    </x:xf>
    <x:xf numFmtId="164" fontId="0" fillId="5" borderId="8" xfId="0" applyAlignment="1">
      <x:alignment vertical="top"/>
    </x:xf>
    <x:xf numFmtId="0" fontId="4" fillId="5" borderId="9" xfId="0" applyAlignment="1">
      <x:alignment vertical="top"/>
    </x:xf>
    <x:xf numFmtId="0" fontId="4" fillId="5" borderId="10" xfId="0" applyAlignment="1">
      <x:alignment vertical="top"/>
    </x:xf>
    <x:xf numFmtId="0" fontId="0" fillId="5" borderId="11" xfId="0" applyAlignment="1">
      <x:alignment vertical="top"/>
    </x:xf>
    <x:xf numFmtId="164" fontId="0" fillId="5" borderId="11" xfId="0" applyAlignment="1">
      <x:alignment vertical="top"/>
    </x:xf>
    <x:xf numFmtId="0" fontId="4" fillId="5" borderId="12" xfId="0" applyAlignment="1">
      <x:alignment vertical="top"/>
    </x:xf>
    <x:xf numFmtId="0" fontId="0" fillId="5" borderId="5" xfId="0" applyAlignment="1">
      <x:alignment vertical="top" wrapText="1"/>
    </x:xf>
    <x:xf numFmtId="0" fontId="0" fillId="5" borderId="8" xfId="0" applyAlignment="1">
      <x:alignment vertical="top" wrapText="1"/>
    </x:xf>
    <x:xf numFmtId="0" fontId="0" fillId="5" borderId="11" xfId="0" applyAlignment="1">
      <x:alignment vertical="top" wrapText="1"/>
    </x:xf>
    <x:xf numFmtId="0" fontId="5" fillId="2" borderId="0" xfId="0"/>
    <x:xf numFmtId="0" fontId="5" fillId="2" borderId="0" xfId="0" applyAlignment="1">
      <x:alignment vertical="center"/>
    </x:xf>
    <x:xf numFmtId="0" fontId="4" fillId="0" borderId="0" xfId="0"/>
    <x:xf numFmtId="0" fontId="6" fillId="3" borderId="0" xfId="0"/>
    <x:xf numFmtId="0" fontId="6" fillId="3" borderId="0" xfId="0" applyAlignment="1">
      <x:alignment horizontal="right"/>
    </x:xf>
    <x:xf numFmtId="0" fontId="6" fillId="3" borderId="0" xfId="0" applyAlignment="1">
      <x:alignment horizontal="right" vertical="center"/>
    </x:xf>
    <x:xf numFmtId="0" fontId="0" fillId="6" borderId="0" xfId="0"/>
    <x:xf numFmtId="0" fontId="7" fillId="6" borderId="0" xfId="0"/>
    <x:xf numFmtId="0" fontId="7" fillId="6" borderId="0" xfId="0" applyAlignment="1">
      <x:alignment vertical="center"/>
    </x:xf>
    <x:xf numFmtId="0" fontId="0" fillId="5" borderId="4" xfId="0" applyAlignment="1">
      <x:alignment wrapText="1"/>
    </x:xf>
    <x:xf numFmtId="0" fontId="0" fillId="5" borderId="5" xfId="0" applyAlignment="1">
      <x:alignment wrapText="1"/>
    </x:xf>
    <x:xf numFmtId="0" fontId="0" fillId="5" borderId="6" xfId="0" applyAlignment="1">
      <x:alignment wrapText="1"/>
    </x:xf>
    <x:xf numFmtId="0" fontId="0" fillId="5" borderId="7" xfId="0" applyAlignment="1">
      <x:alignment wrapText="1"/>
    </x:xf>
    <x:xf numFmtId="0" fontId="0" fillId="5" borderId="8" xfId="0" applyAlignment="1">
      <x:alignment wrapText="1"/>
    </x:xf>
    <x:xf numFmtId="0" fontId="0" fillId="5" borderId="9" xfId="0" applyAlignment="1">
      <x:alignment wrapText="1"/>
    </x:xf>
    <x:xf numFmtId="0" fontId="0" fillId="5" borderId="10" xfId="0" applyAlignment="1">
      <x:alignment wrapText="1"/>
    </x:xf>
    <x:xf numFmtId="0" fontId="0" fillId="5" borderId="11" xfId="0" applyAlignment="1">
      <x:alignment wrapText="1"/>
    </x:xf>
    <x:xf numFmtId="0" fontId="0" fillId="5" borderId="12" xfId="0" applyAlignment="1">
      <x:alignment wrapText="1"/>
    </x:xf>
    <x:xf numFmtId="0" fontId="0" fillId="5" borderId="4" xfId="0" applyAlignment="1">
      <x:alignment vertical="top" wrapText="1"/>
    </x:xf>
    <x:xf numFmtId="0" fontId="0" fillId="5" borderId="6" xfId="0" applyAlignment="1">
      <x:alignment vertical="top" wrapText="1"/>
    </x:xf>
    <x:xf numFmtId="0" fontId="0" fillId="5" borderId="7" xfId="0" applyAlignment="1">
      <x:alignment vertical="top" wrapText="1"/>
    </x:xf>
    <x:xf numFmtId="0" fontId="0" fillId="5" borderId="9" xfId="0" applyAlignment="1">
      <x:alignment vertical="top" wrapText="1"/>
    </x:xf>
    <x:xf numFmtId="0" fontId="0" fillId="5" borderId="10" xfId="0" applyAlignment="1">
      <x:alignment vertical="top" wrapText="1"/>
    </x:xf>
    <x:xf numFmtId="0" fontId="0" fillId="5" borderId="12" xfId="0" applyAlignment="1">
      <x:alignment vertical="top" wrapText="1"/>
    </x:xf>
    <x:xf numFmtId="0" fontId="0" fillId="3" borderId="4" xfId="0" applyAlignment="1">
      <x:alignment vertical="top" wrapText="1"/>
    </x:xf>
    <x:xf numFmtId="0" fontId="0" fillId="3" borderId="7" xfId="0" applyAlignment="1">
      <x:alignment vertical="top" wrapText="1"/>
    </x:xf>
    <x:xf numFmtId="0" fontId="0" fillId="3" borderId="10" xfId="0" applyAlignment="1">
      <x:alignment vertical="top" wrapText="1"/>
    </x:xf>
    <x:xf numFmtId="0" fontId="6" fillId="3" borderId="4" xfId="0" applyAlignment="1">
      <x:alignment vertical="top" wrapText="1"/>
    </x:xf>
    <x:xf numFmtId="0" fontId="6" fillId="3" borderId="7" xfId="0" applyAlignment="1">
      <x:alignment vertical="top" wrapText="1"/>
    </x:xf>
    <x:xf numFmtId="0" fontId="6" fillId="3" borderId="10" xfId="0" applyAlignment="1">
      <x:alignment vertical="top" wrapText="1"/>
    </x:xf>
    <x:xf numFmtId="0" fontId="0" fillId="3" borderId="5" xfId="0" applyAlignment="1">
      <x:alignment vertical="top" wrapText="1"/>
    </x:xf>
    <x:xf numFmtId="0" fontId="0" fillId="3" borderId="8" xfId="0" applyAlignment="1">
      <x:alignment vertical="top" wrapText="1"/>
    </x:xf>
    <x:xf numFmtId="0" fontId="0" fillId="3" borderId="11" xfId="0" applyAlignment="1">
      <x:alignment vertical="top" wrapText="1"/>
    </x:xf>
    <x:xf numFmtId="0" fontId="6" fillId="3" borderId="5" xfId="0" applyAlignment="1">
      <x:alignment vertical="top" wrapText="1"/>
    </x:xf>
    <x:xf numFmtId="0" fontId="6" fillId="3" borderId="8" xfId="0" applyAlignment="1">
      <x:alignment vertical="top" wrapText="1"/>
    </x:xf>
    <x:xf numFmtId="0" fontId="6" fillId="3" borderId="11" xfId="0" applyAlignment="1">
      <x:alignment vertical="top" wrapText="1"/>
    </x:xf>
    <x:xf numFmtId="164" fontId="0" fillId="5" borderId="11" xfId="0" applyAlignment="1">
      <x:alignment vertical="top" wrapText="1"/>
    </x:xf>
    <x:xf numFmtId="0" fontId="8" fillId="3" borderId="0" xfId="0"/>
    <x:xf numFmtId="0" fontId="8" fillId="3" borderId="13" xfId="0"/>
    <x:xf numFmtId="0" fontId="8" fillId="3" borderId="14" xfId="0"/>
    <x:xf numFmtId="0" fontId="8" fillId="3" borderId="15" xfId="0"/>
    <x:xf numFmtId="0" fontId="8" fillId="3" borderId="13" xfId="0" applyAlignment="1">
      <x:alignment wrapText="1"/>
    </x:xf>
    <x:xf numFmtId="0" fontId="8" fillId="3" borderId="14" xfId="0" applyAlignment="1">
      <x:alignment wrapText="1"/>
    </x:xf>
    <x:xf numFmtId="0" fontId="8" fillId="3" borderId="15" xfId="0" applyAlignment="1">
      <x:alignment wrapText="1"/>
    </x:xf>
    <x:xf numFmtId="0" fontId="8" fillId="3" borderId="13" xfId="0" applyAlignment="1">
      <x:alignment vertical="top" wrapText="1"/>
    </x:xf>
    <x:xf numFmtId="0" fontId="8" fillId="3" borderId="14" xfId="0" applyAlignment="1">
      <x:alignment vertical="top" wrapText="1"/>
    </x:xf>
    <x:xf numFmtId="0" fontId="8" fillId="3" borderId="15" xfId="0" applyAlignment="1">
      <x:alignment vertical="top" wrapText="1"/>
    </x:xf>
    <x:xf numFmtId="0" fontId="0" fillId="5" borderId="1" xfId="0"/>
    <x:xf numFmtId="0" fontId="0" fillId="5" borderId="2" xfId="0"/>
    <x:xf numFmtId="0" fontId="0" fillId="5" borderId="3" xfId="0"/>
    <x:xf numFmtId="0" fontId="0" fillId="5" borderId="1" xfId="0" applyAlignment="1">
      <x:alignment wrapText="1"/>
    </x:xf>
    <x:xf numFmtId="0" fontId="0" fillId="5" borderId="2" xfId="0" applyAlignment="1">
      <x:alignment wrapText="1"/>
    </x:xf>
    <x:xf numFmtId="0" fontId="0" fillId="5" borderId="3" xfId="0" applyAlignment="1">
      <x:alignment wrapText="1"/>
    </x:xf>
    <x:xf numFmtId="0" fontId="0" fillId="5" borderId="1" xfId="0" applyAlignment="1">
      <x:alignment vertical="top" wrapText="1"/>
    </x:xf>
    <x:xf numFmtId="0" fontId="0" fillId="5" borderId="2" xfId="0" applyAlignment="1">
      <x:alignment vertical="top" wrapText="1"/>
    </x:xf>
    <x:xf numFmtId="0" fontId="0" fillId="5" borderId="3" xfId="0" applyAlignment="1">
      <x:alignment vertical="top" wrapText="1"/>
    </x:xf>
    <x:xf numFmtId="0" fontId="1" fillId="2" borderId="8" xfId="0" applyAlignment="1">
      <x:alignment vertical="center"/>
    </x:xf>
    <x:xf numFmtId="0" fontId="0" fillId="0" borderId="8" xfId="0"/>
    <x:xf numFmtId="0" fontId="2" fillId="3" borderId="8" xfId="0" applyAlignment="1">
      <x:alignment vertical="center"/>
    </x:xf>
    <x:xf numFmtId="164" fontId="0" fillId="5" borderId="5" xfId="0" applyAlignment="1">
      <x:alignment vertical="top"/>
    </x:xf>
    <x:xf numFmtId="164" fontId="0" fillId="5" borderId="8" xfId="0" applyAlignment="1">
      <x:alignment vertical="top"/>
    </x:xf>
    <x:xf numFmtId="164" fontId="0" fillId="5" borderId="11" xfId="0" applyAlignment="1">
      <x:alignment vertical="top"/>
    </x:xf>
    <x:xf numFmtId="0" fontId="5" fillId="2" borderId="8" xfId="0" applyAlignment="1">
      <x:alignment vertical="center"/>
    </x:xf>
    <x:xf numFmtId="0" fontId="6" fillId="3" borderId="8" xfId="0" applyAlignment="1">
      <x:alignment horizontal="right" vertical="center"/>
    </x:xf>
    <x:xf numFmtId="0" fontId="7" fillId="6" borderId="8" xfId="0" applyAlignment="1">
      <x:alignment vertical="center"/>
    </x:xf>
    <x:xf numFmtId="164" fontId="0" fillId="5" borderId="11" xfId="0" applyAlignment="1">
      <x:alignment vertical="top" wrapText="1"/>
    </x:xf>
    <x:xf numFmtId="0" fontId="8" fillId="3" borderId="16" xfId="0" applyAlignment="1">
      <x:alignment vertical="top" wrapText="1"/>
    </x:xf>
    <x:xf numFmtId="0" fontId="0" fillId="0" borderId="14" xfId="0"/>
    <x:xf numFmtId="0" fontId="0" fillId="0" borderId="15" xfId="0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2" fillId="10" borderId="19" xfId="0" applyNumberFormat="1" applyFont="1" applyFill="1" applyBorder="1" applyAlignment="1">
      <x:alignment vertical="top" wrapText="1"/>
    </x:xf>
    <x:xf numFmtId="0" fontId="13" fillId="0" borderId="19" xfId="0" applyNumberFormat="1" applyFont="1" applyFill="1" applyBorder="1"/>
    <x:xf numFmtId="0" fontId="13" fillId="0" borderId="19" xfId="0" applyNumberFormat="1" applyFont="1" applyFill="1" applyBorder="1" applyAlignment="1">
      <x:alignment wrapText="1"/>
    </x:xf>
    <x:xf numFmtId="0" fontId="13" fillId="0" borderId="19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/>
    <x:xf numFmtId="0" fontId="14" fillId="8" borderId="20" xfId="0" applyNumberFormat="1" applyFont="1" applyFill="1" applyBorder="1"/>
    <x:xf numFmtId="0" fontId="14" fillId="8" borderId="21" xfId="0" applyNumberFormat="1" applyFont="1" applyFill="1" applyBorder="1"/>
    <x:xf numFmtId="0" fontId="14" fillId="8" borderId="22" xfId="0" applyNumberFormat="1" applyFont="1" applyFill="1" applyBorder="1"/>
    <x:xf numFmtId="0" fontId="14" fillId="8" borderId="20" xfId="0" applyNumberFormat="1" applyFont="1" applyFill="1" applyBorder="1" applyAlignment="1">
      <x:alignment wrapText="1"/>
    </x:xf>
    <x:xf numFmtId="0" fontId="14" fillId="8" borderId="21" xfId="0" applyNumberFormat="1" applyFont="1" applyFill="1" applyBorder="1" applyAlignment="1">
      <x:alignment wrapText="1"/>
    </x:xf>
    <x:xf numFmtId="0" fontId="14" fillId="8" borderId="22" xfId="0" applyNumberFormat="1" applyFont="1" applyFill="1" applyBorder="1" applyAlignment="1">
      <x:alignment wrapText="1"/>
    </x:xf>
    <x:xf numFmtId="0" fontId="14" fillId="8" borderId="20" xfId="0" applyNumberFormat="1" applyFont="1" applyFill="1" applyBorder="1" applyAlignment="1">
      <x:alignment vertical="top" wrapText="1"/>
    </x:xf>
    <x:xf numFmtId="0" fontId="14" fillId="8" borderId="21" xfId="0" applyNumberFormat="1" applyFont="1" applyFill="1" applyBorder="1" applyAlignment="1">
      <x:alignment vertical="top" wrapText="1"/>
    </x:xf>
    <x:xf numFmtId="0" fontId="14" fillId="8" borderId="2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19" xfId="0" applyNumberFormat="1" applyFont="1" applyFill="1" applyBorder="1"/>
    <x:xf numFmtId="0" fontId="15" fillId="11" borderId="19" xfId="0" applyNumberFormat="1" applyFont="1" applyFill="1" applyBorder="1" applyAlignment="1">
      <x:alignment wrapText="1"/>
    </x:xf>
    <x:xf numFmtId="0" fontId="15" fillId="11" borderId="19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9" xfId="0" applyNumberFormat="1" applyFont="1" applyFill="1" applyBorder="1"/>
    <x:xf numFmtId="0" fontId="13" fillId="12" borderId="19" xfId="0" applyNumberFormat="1" applyFont="1" applyFill="1" applyBorder="1" applyAlignment="1">
      <x:alignment wrapText="1"/>
    </x:xf>
    <x:xf numFmtId="0" fontId="13" fillId="12" borderId="19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horizontal="right"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7" fillId="16" borderId="0" xfId="0" applyNumberFormat="1" applyFont="1" applyFill="1" applyBorder="1"/>
    <x:xf numFmtId="0" fontId="17" fillId="16" borderId="0" xfId="0" applyNumberFormat="1" applyFont="1" applyFill="1" applyBorder="1" applyAlignment="1">
      <x:alignment wrapText="1"/>
    </x:xf>
    <x:xf numFmtId="0" fontId="17" fillId="16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7" fillId="16" borderId="19" xfId="0" applyNumberFormat="1" applyFont="1" applyFill="1" applyBorder="1" applyAlignment="1">
      <x:alignment vertical="top" wrapText="1"/>
    </x:xf>
    <x:xf numFmtId="0" fontId="12" fillId="0" borderId="19" xfId="0" applyNumberFormat="1" applyFont="1" applyFill="1" applyBorder="1"/>
    <x:xf numFmtId="0" fontId="12" fillId="0" borderId="19" xfId="0" applyNumberFormat="1" applyFont="1" applyFill="1" applyBorder="1" applyAlignment="1">
      <x:alignment wrapText="1"/>
    </x:xf>
    <x:xf numFmtId="0" fontId="12" fillId="0" borderId="19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/>
    <x:xf numFmtId="0" fontId="14" fillId="14" borderId="20" xfId="0" applyNumberFormat="1" applyFont="1" applyFill="1" applyBorder="1"/>
    <x:xf numFmtId="0" fontId="14" fillId="14" borderId="21" xfId="0" applyNumberFormat="1" applyFont="1" applyFill="1" applyBorder="1"/>
    <x:xf numFmtId="0" fontId="14" fillId="14" borderId="22" xfId="0" applyNumberFormat="1" applyFont="1" applyFill="1" applyBorder="1"/>
    <x:xf numFmtId="0" fontId="14" fillId="14" borderId="20" xfId="0" applyNumberFormat="1" applyFont="1" applyFill="1" applyBorder="1" applyAlignment="1">
      <x:alignment wrapText="1"/>
    </x:xf>
    <x:xf numFmtId="0" fontId="14" fillId="14" borderId="21" xfId="0" applyNumberFormat="1" applyFont="1" applyFill="1" applyBorder="1" applyAlignment="1">
      <x:alignment wrapText="1"/>
    </x:xf>
    <x:xf numFmtId="0" fontId="14" fillId="14" borderId="22" xfId="0" applyNumberFormat="1" applyFont="1" applyFill="1" applyBorder="1" applyAlignment="1">
      <x:alignment wrapText="1"/>
    </x:xf>
    <x:xf numFmtId="0" fontId="14" fillId="14" borderId="20" xfId="0" applyNumberFormat="1" applyFont="1" applyFill="1" applyBorder="1" applyAlignment="1">
      <x:alignment vertical="top" wrapText="1"/>
    </x:xf>
    <x:xf numFmtId="0" fontId="14" fillId="14" borderId="21" xfId="0" applyNumberFormat="1" applyFont="1" applyFill="1" applyBorder="1" applyAlignment="1">
      <x:alignment vertical="top" wrapText="1"/>
    </x:xf>
    <x:xf numFmtId="0" fontId="14" fillId="14" borderId="2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19" xfId="0" applyNumberFormat="1" applyFont="1" applyFill="1" applyBorder="1"/>
    <x:xf numFmtId="0" fontId="15" fillId="17" borderId="19" xfId="0" applyNumberFormat="1" applyFont="1" applyFill="1" applyBorder="1" applyAlignment="1">
      <x:alignment wrapText="1"/>
    </x:xf>
    <x:xf numFmtId="0" fontId="15" fillId="17" borderId="19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19" xfId="0" applyNumberFormat="1" applyFont="1" applyFill="1" applyBorder="1"/>
    <x:xf numFmtId="0" fontId="12" fillId="18" borderId="19" xfId="0" applyNumberFormat="1" applyFont="1" applyFill="1" applyBorder="1" applyAlignment="1">
      <x:alignment wrapText="1"/>
    </x:xf>
    <x:xf numFmtId="0" fontId="12" fillId="18" borderId="19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10" fillId="20" borderId="0" xfId="0" applyNumberFormat="1" applyFont="1" applyFill="1" applyBorder="1" applyAlignment="1">
      <x:alignment vertical="center"/>
    </x:xf>
    <x:xf numFmtId="0" fontId="10" fillId="20" borderId="0" xfId="0" applyNumberFormat="1" applyFont="1" applyFill="1" applyBorder="1" applyAlignment="1">
      <x:alignment horizontal="right" vertical="center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  <x:xf numFmtId="0" fontId="19" fillId="22" borderId="0" xfId="0" applyNumberFormat="1" applyFont="1" applyFill="1" applyBorder="1" applyAlignment="1">
      <x:alignment vertical="top" wrapText="1"/>
    </x:xf>
    <x:xf numFmtId="0" fontId="19" fillId="22" borderId="19" xfId="0" applyNumberFormat="1" applyFont="1" applyFill="1" applyBorder="1" applyAlignment="1">
      <x:alignment vertical="top" wrapText="1"/>
    </x:xf>
    <x:xf numFmtId="0" fontId="14" fillId="20" borderId="0" xfId="0" applyNumberFormat="1" applyFont="1" applyFill="1" applyBorder="1"/>
    <x:xf numFmtId="0" fontId="14" fillId="20" borderId="20" xfId="0" applyNumberFormat="1" applyFont="1" applyFill="1" applyBorder="1"/>
    <x:xf numFmtId="0" fontId="14" fillId="20" borderId="21" xfId="0" applyNumberFormat="1" applyFont="1" applyFill="1" applyBorder="1"/>
    <x:xf numFmtId="0" fontId="14" fillId="20" borderId="22" xfId="0" applyNumberFormat="1" applyFont="1" applyFill="1" applyBorder="1"/>
    <x:xf numFmtId="0" fontId="14" fillId="20" borderId="20" xfId="0" applyNumberFormat="1" applyFont="1" applyFill="1" applyBorder="1" applyAlignment="1">
      <x:alignment wrapText="1"/>
    </x:xf>
    <x:xf numFmtId="0" fontId="14" fillId="20" borderId="21" xfId="0" applyNumberFormat="1" applyFont="1" applyFill="1" applyBorder="1" applyAlignment="1">
      <x:alignment wrapText="1"/>
    </x:xf>
    <x:xf numFmtId="0" fontId="14" fillId="20" borderId="22" xfId="0" applyNumberFormat="1" applyFont="1" applyFill="1" applyBorder="1" applyAlignment="1">
      <x:alignment wrapText="1"/>
    </x:xf>
    <x:xf numFmtId="0" fontId="14" fillId="20" borderId="20" xfId="0" applyNumberFormat="1" applyFont="1" applyFill="1" applyBorder="1" applyAlignment="1">
      <x:alignment vertical="top" wrapText="1"/>
    </x:xf>
    <x:xf numFmtId="0" fontId="14" fillId="20" borderId="21" xfId="0" applyNumberFormat="1" applyFont="1" applyFill="1" applyBorder="1" applyAlignment="1">
      <x:alignment vertical="top" wrapText="1"/>
    </x:xf>
    <x:xf numFmtId="0" fontId="14" fillId="20" borderId="22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9" xfId="0" applyNumberFormat="1" applyFont="1" applyFill="1" applyBorder="1"/>
    <x:xf numFmtId="0" fontId="15" fillId="23" borderId="19" xfId="0" applyNumberFormat="1" applyFont="1" applyFill="1" applyBorder="1" applyAlignment="1">
      <x:alignment wrapText="1"/>
    </x:xf>
    <x:xf numFmtId="0" fontId="15" fillId="23" borderId="19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19" xfId="0" applyNumberFormat="1" applyFont="1" applyFill="1" applyBorder="1"/>
    <x:xf numFmtId="0" fontId="12" fillId="24" borderId="19" xfId="0" applyNumberFormat="1" applyFont="1" applyFill="1" applyBorder="1" applyAlignment="1">
      <x:alignment wrapText="1"/>
    </x:xf>
    <x:xf numFmtId="0" fontId="12" fillId="24" borderId="19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f5984776f4f53" /><Relationship Type="http://schemas.openxmlformats.org/officeDocument/2006/relationships/theme" Target="/xl/theme/theme1.xml" Id="Rc8abc47e0aec4337" /><Relationship Type="http://schemas.openxmlformats.org/officeDocument/2006/relationships/sharedStrings" Target="/xl/sharedStrings.xml" Id="Rfc3edb587f5d4e0a" /><Relationship Type="http://schemas.openxmlformats.org/officeDocument/2006/relationships/worksheet" Target="/xl/worksheets/sheet1.xml" Id="Re814553d55304a39" /><Relationship Type="http://schemas.openxmlformats.org/officeDocument/2006/relationships/worksheet" Target="/xl/worksheets/sheet2.xml" Id="Rdba9e0995b4545bd" /><Relationship Type="http://schemas.openxmlformats.org/officeDocument/2006/relationships/worksheet" Target="/xl/worksheets/sheet3.xml" Id="R9a37bc078adc4ee2" /><Relationship Type="http://schemas.openxmlformats.org/officeDocument/2006/relationships/worksheet" Target="/xl/worksheets/sheet4.xml" Id="R71b6d4112fe14d49" /><Relationship Type="http://schemas.openxmlformats.org/officeDocument/2006/relationships/worksheet" Target="/xl/worksheets/sheet5.xml" Id="R415a38c4640e4fd1" /><Relationship Type="http://schemas.openxmlformats.org/officeDocument/2006/relationships/worksheet" Target="/xl/worksheets/sheet6.xml" Id="R81e655735b8c4315" /><Relationship Type="http://schemas.openxmlformats.org/officeDocument/2006/relationships/worksheet" Target="/xl/worksheets/sheet7.xml" Id="R13b72e889b0f4eaa" /><Relationship Type="http://schemas.openxmlformats.org/officeDocument/2006/relationships/worksheet" Target="/xl/worksheets/sheet8.xml" Id="R8e6e2c7c3c97465c" /><Relationship Type="http://schemas.openxmlformats.org/officeDocument/2006/relationships/worksheet" Target="/xl/worksheets/sheet9.xml" Id="Re8b7a6321a9d4b25" /><Relationship Type="http://schemas.openxmlformats.org/officeDocument/2006/relationships/worksheet" Target="/xl/worksheets/sheet10.xml" Id="Rd320dd20789c47c9" /><Relationship Type="http://schemas.openxmlformats.org/officeDocument/2006/relationships/worksheet" Target="/xl/worksheets/sheet11.xml" Id="R347add2b48fd4363" /><Relationship Type="http://schemas.openxmlformats.org/officeDocument/2006/relationships/worksheet" Target="/xl/worksheets/sheet12.xml" Id="R51bd8ba307e94292" /><Relationship Type="http://schemas.openxmlformats.org/officeDocument/2006/relationships/worksheet" Target="/xl/worksheets/sheet13.xml" Id="R6cd9e55325c749fd" /><Relationship Type="http://schemas.openxmlformats.org/officeDocument/2006/relationships/worksheet" Target="/xl/worksheets/sheet14.xml" Id="R019e54cbc85f4e1e" /><Relationship Type="http://schemas.openxmlformats.org/officeDocument/2006/relationships/worksheet" Target="/xl/worksheets/sheet15.xml" Id="Rf954b27e82004f43" /><Relationship Type="http://schemas.openxmlformats.org/officeDocument/2006/relationships/worksheet" Target="/xl/worksheets/sheet16.xml" Id="R3fc9403b52a24758" /><Relationship Type="http://schemas.openxmlformats.org/officeDocument/2006/relationships/worksheet" Target="/xl/worksheets/sheet17.xml" Id="Rd91d090f98a44ba6" /><Relationship Type="http://schemas.openxmlformats.org/officeDocument/2006/relationships/worksheet" Target="/xl/worksheets/sheet18.xml" Id="Rf3956b29fa074f16" /><Relationship Type="http://schemas.openxmlformats.org/officeDocument/2006/relationships/worksheet" Target="/xl/worksheets/sheet19.xml" Id="Rb7fa215a50ab40e0" /><Relationship Type="http://schemas.openxmlformats.org/officeDocument/2006/relationships/worksheet" Target="/xl/worksheets/sheet20.xml" Id="R00b285d1bae6497c" /><Relationship Type="http://schemas.openxmlformats.org/officeDocument/2006/relationships/worksheet" Target="/xl/worksheets/sheet21.xml" Id="Rff3557cc99a54d87" /><Relationship Type="http://schemas.openxmlformats.org/officeDocument/2006/relationships/worksheet" Target="/xl/worksheets/sheet22.xml" Id="Rf0a2c0e839ba47ac" /><Relationship Type="http://schemas.openxmlformats.org/officeDocument/2006/relationships/worksheet" Target="/xl/worksheets/sheet23.xml" Id="R31b4553a5fd64892" /><Relationship Type="http://schemas.openxmlformats.org/officeDocument/2006/relationships/worksheet" Target="/xl/worksheets/sheet24.xml" Id="Rb4226e7c2d9a4c62" /><Relationship Type="http://schemas.openxmlformats.org/officeDocument/2006/relationships/worksheet" Target="/xl/worksheets/sheet25.xml" Id="R16fa1fc049fd446d" /><Relationship Type="http://schemas.openxmlformats.org/officeDocument/2006/relationships/worksheet" Target="/xl/worksheets/sheet26.xml" Id="R2c5ca338925348c0" /><Relationship Type="http://schemas.openxmlformats.org/officeDocument/2006/relationships/worksheet" Target="/xl/worksheets/sheet27.xml" Id="R40523ccf7ef8497e" /><Relationship Type="http://schemas.openxmlformats.org/officeDocument/2006/relationships/worksheet" Target="/xl/worksheets/sheet28.xml" Id="R1e281c7947b840ad" /><Relationship Type="http://schemas.openxmlformats.org/officeDocument/2006/relationships/worksheet" Target="/xl/worksheets/sheet29.xml" Id="R2e1ffa4ad1014296" /><Relationship Type="http://schemas.openxmlformats.org/officeDocument/2006/relationships/worksheet" Target="/xl/worksheets/sheet30.xml" Id="R2ebc9dfddd2c44e6" /><Relationship Type="http://schemas.openxmlformats.org/officeDocument/2006/relationships/worksheet" Target="/xl/worksheets/sheet31.xml" Id="R005372c2882b440a" /></Relationships>
</file>

<file path=xl/tables/table1.xml><?xml version="1.0" encoding="utf-8"?>
<x:table xmlns:x="http://schemas.openxmlformats.org/spreadsheetml/2006/main" id="1" name="ApiIndex" displayName="ApiIndex" ref="A5:H34" headerRowCount="1" totalsRowCount="0" totalsRowShown="0">
  <x:tableColumns count="8">
    <x:tableColumn id="1" name="API ID"/>
    <x:tableColumn id="2" name="Method"/>
    <x:tableColumn id="3" name="Path"/>
    <x:tableColumn id="4" name="기능"/>
    <x:tableColumn id="5" name="가용 상태"/>
    <x:tableColumn id="6" name="성공 상태"/>
    <x:tableColumn id="7" name="최근 변경"/>
    <x:tableColumn id="8" name="상세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q001" displayName="Req001" ref="A17:E18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001" displayName="Res001" ref="A21:D22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rr001" displayName="Err001" ref="A25:E26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Req002" displayName="Req002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es002" displayName="Res002" ref="A22:D24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Err002" displayName="Err002" ref="A27:E29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eq003" displayName="Req003" ref="A17:E18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Res003" displayName="Res003" ref="A21:D22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rr003" displayName="Err003" ref="A25:E27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Req004" displayName="Req004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Res004" displayName="Res004" ref="A22:D23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Err004" displayName="Err004" ref="A26:E29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Req005" displayName="Req005" ref="A17:E18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Res005" displayName="Res005" ref="A21:D26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Err005" displayName="Err005" ref="A29:E31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Req006" displayName="Req006" ref="A17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Res006" displayName="Res006" ref="A23:D24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Err006" displayName="Err006" ref="A27:E30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3" name="Req008" displayName="Req008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4" name="Res008" displayName="Res008" ref="A22:D25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5" name="Err008" displayName="Err008" ref="A28:E31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23.xml><?xml version="1.0" encoding="utf-8"?>
<x:table xmlns:x="http://schemas.openxmlformats.org/spreadsheetml/2006/main" id="26" name="Req009" displayName="Req009" ref="A17:E24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24.xml><?xml version="1.0" encoding="utf-8"?>
<x:table xmlns:x="http://schemas.openxmlformats.org/spreadsheetml/2006/main" id="27" name="Res009" displayName="Res009" ref="A27:D34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25.xml><?xml version="1.0" encoding="utf-8"?>
<x:table xmlns:x="http://schemas.openxmlformats.org/spreadsheetml/2006/main" id="28" name="Err009" displayName="Err009" ref="A37:E43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26.xml><?xml version="1.0" encoding="utf-8"?>
<x:table xmlns:x="http://schemas.openxmlformats.org/spreadsheetml/2006/main" id="29" name="Req010" displayName="Req010" ref="A17:E21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27.xml><?xml version="1.0" encoding="utf-8"?>
<x:table xmlns:x="http://schemas.openxmlformats.org/spreadsheetml/2006/main" id="30" name="Res010" displayName="Res010" ref="A24:D28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28.xml><?xml version="1.0" encoding="utf-8"?>
<x:table xmlns:x="http://schemas.openxmlformats.org/spreadsheetml/2006/main" id="31" name="Err010" displayName="Err010" ref="A31:E37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29.xml><?xml version="1.0" encoding="utf-8"?>
<x:table xmlns:x="http://schemas.openxmlformats.org/spreadsheetml/2006/main" id="32" name="Req011" displayName="Req011" ref="A17:E24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30.xml><?xml version="1.0" encoding="utf-8"?>
<x:table xmlns:x="http://schemas.openxmlformats.org/spreadsheetml/2006/main" id="33" name="Res011" displayName="Res011" ref="A27:D35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31.xml><?xml version="1.0" encoding="utf-8"?>
<x:table xmlns:x="http://schemas.openxmlformats.org/spreadsheetml/2006/main" id="34" name="Err011" displayName="Err011" ref="A38:E44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32.xml><?xml version="1.0" encoding="utf-8"?>
<x:table xmlns:x="http://schemas.openxmlformats.org/spreadsheetml/2006/main" id="38" name="Req013" displayName="Req013" ref="A17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33.xml><?xml version="1.0" encoding="utf-8"?>
<x:table xmlns:x="http://schemas.openxmlformats.org/spreadsheetml/2006/main" id="39" name="Res013" displayName="Res013" ref="A23:D25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34.xml><?xml version="1.0" encoding="utf-8"?>
<x:table xmlns:x="http://schemas.openxmlformats.org/spreadsheetml/2006/main" id="40" name="Err013" displayName="Err013" ref="A28:E32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35.xml><?xml version="1.0" encoding="utf-8"?>
<x:table xmlns:x="http://schemas.openxmlformats.org/spreadsheetml/2006/main" id="44" name="Req015" displayName="Req015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36.xml><?xml version="1.0" encoding="utf-8"?>
<x:table xmlns:x="http://schemas.openxmlformats.org/spreadsheetml/2006/main" id="45" name="Res015" displayName="Res015" ref="A22:D42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37.xml><?xml version="1.0" encoding="utf-8"?>
<x:table xmlns:x="http://schemas.openxmlformats.org/spreadsheetml/2006/main" id="46" name="Err015" displayName="Err015" ref="A45:E48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38.xml><?xml version="1.0" encoding="utf-8"?>
<x:table xmlns:x="http://schemas.openxmlformats.org/spreadsheetml/2006/main" id="50" name="Req017" displayName="Req017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39.xml><?xml version="1.0" encoding="utf-8"?>
<x:table xmlns:x="http://schemas.openxmlformats.org/spreadsheetml/2006/main" id="51" name="Res017" displayName="Res017" ref="A22:D27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40.xml><?xml version="1.0" encoding="utf-8"?>
<x:table xmlns:x="http://schemas.openxmlformats.org/spreadsheetml/2006/main" id="52" name="Err017" displayName="Err017" ref="A30:E33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41.xml><?xml version="1.0" encoding="utf-8"?>
<x:table xmlns:x="http://schemas.openxmlformats.org/spreadsheetml/2006/main" id="56" name="Req019" displayName="Req019" ref="A17:E24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42.xml><?xml version="1.0" encoding="utf-8"?>
<x:table xmlns:x="http://schemas.openxmlformats.org/spreadsheetml/2006/main" id="57" name="Res019" displayName="Res019" ref="A27:D34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43.xml><?xml version="1.0" encoding="utf-8"?>
<x:table xmlns:x="http://schemas.openxmlformats.org/spreadsheetml/2006/main" id="58" name="Err019" displayName="Err019" ref="A37:E43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44.xml><?xml version="1.0" encoding="utf-8"?>
<x:table xmlns:x="http://schemas.openxmlformats.org/spreadsheetml/2006/main" id="59" name="Req020" displayName="Req020" ref="A17:E21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45.xml><?xml version="1.0" encoding="utf-8"?>
<x:table xmlns:x="http://schemas.openxmlformats.org/spreadsheetml/2006/main" id="60" name="Res020" displayName="Res020" ref="A24:D28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46.xml><?xml version="1.0" encoding="utf-8"?>
<x:table xmlns:x="http://schemas.openxmlformats.org/spreadsheetml/2006/main" id="61" name="Err020" displayName="Err020" ref="A31:E37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47.xml><?xml version="1.0" encoding="utf-8"?>
<x:table xmlns:x="http://schemas.openxmlformats.org/spreadsheetml/2006/main" id="65" name="Req022" displayName="Req022" ref="A17:E21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48.xml><?xml version="1.0" encoding="utf-8"?>
<x:table xmlns:x="http://schemas.openxmlformats.org/spreadsheetml/2006/main" id="66" name="Res022" displayName="Res022" ref="A24:D27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49.xml><?xml version="1.0" encoding="utf-8"?>
<x:table xmlns:x="http://schemas.openxmlformats.org/spreadsheetml/2006/main" id="67" name="Err022" displayName="Err022" ref="A30:E35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50.xml><?xml version="1.0" encoding="utf-8"?>
<x:table xmlns:x="http://schemas.openxmlformats.org/spreadsheetml/2006/main" id="68" name="Req023" displayName="Req023" ref="A17:E21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51.xml><?xml version="1.0" encoding="utf-8"?>
<x:table xmlns:x="http://schemas.openxmlformats.org/spreadsheetml/2006/main" id="69" name="Res023" displayName="Res023" ref="A24:D27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52.xml><?xml version="1.0" encoding="utf-8"?>
<x:table xmlns:x="http://schemas.openxmlformats.org/spreadsheetml/2006/main" id="70" name="Err023" displayName="Err023" ref="A30:E36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53.xml><?xml version="1.0" encoding="utf-8"?>
<x:table xmlns:x="http://schemas.openxmlformats.org/spreadsheetml/2006/main" id="74" name="Req025" displayName="Req025" ref="A17:E19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54.xml><?xml version="1.0" encoding="utf-8"?>
<x:table xmlns:x="http://schemas.openxmlformats.org/spreadsheetml/2006/main" id="75" name="Res025" displayName="Res025" ref="A22:D28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55.xml><?xml version="1.0" encoding="utf-8"?>
<x:table xmlns:x="http://schemas.openxmlformats.org/spreadsheetml/2006/main" id="76" name="Err025" displayName="Err025" ref="A31:E34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56.xml><?xml version="1.0" encoding="utf-8"?>
<x:table xmlns:x="http://schemas.openxmlformats.org/spreadsheetml/2006/main" id="77" name="Req026" displayName="Req026" ref="A18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57.xml><?xml version="1.0" encoding="utf-8"?>
<x:table xmlns:x="http://schemas.openxmlformats.org/spreadsheetml/2006/main" id="78" name="Res026" displayName="Res026" ref="A23:D30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58.xml><?xml version="1.0" encoding="utf-8"?>
<x:table xmlns:x="http://schemas.openxmlformats.org/spreadsheetml/2006/main" id="79" name="Err026" displayName="Err026" ref="A33:E36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59.xml><?xml version="1.0" encoding="utf-8"?>
<x:table xmlns:x="http://schemas.openxmlformats.org/spreadsheetml/2006/main" id="80" name="Req027" displayName="Req027" ref="A17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60.xml><?xml version="1.0" encoding="utf-8"?>
<x:table xmlns:x="http://schemas.openxmlformats.org/spreadsheetml/2006/main" id="81" name="Res027" displayName="Res027" ref="A23:D27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61.xml><?xml version="1.0" encoding="utf-8"?>
<x:table xmlns:x="http://schemas.openxmlformats.org/spreadsheetml/2006/main" id="82" name="Err027" displayName="Err027" ref="A30:E36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62.xml><?xml version="1.0" encoding="utf-8"?>
<x:table xmlns:x="http://schemas.openxmlformats.org/spreadsheetml/2006/main" id="83" name="Req028" displayName="Req028" ref="A17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63.xml><?xml version="1.0" encoding="utf-8"?>
<x:table xmlns:x="http://schemas.openxmlformats.org/spreadsheetml/2006/main" id="84" name="Res028" displayName="Res028" ref="A23:D24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64.xml><?xml version="1.0" encoding="utf-8"?>
<x:table xmlns:x="http://schemas.openxmlformats.org/spreadsheetml/2006/main" id="85" name="Err028" displayName="Err028" ref="A27:E31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ables/table65.xml><?xml version="1.0" encoding="utf-8"?>
<x:table xmlns:x="http://schemas.openxmlformats.org/spreadsheetml/2006/main" id="86" name="Req029" displayName="Req029" ref="A18:E20" headerRowCount="1" totalsRowCount="0" totalsRowShown="0">
  <x:tableColumns count="5">
    <x:tableColumn id="1" name="위치"/>
    <x:tableColumn id="2" name="필드 경로"/>
    <x:tableColumn id="3" name="타입"/>
    <x:tableColumn id="4" name="필수 여부"/>
    <x:tableColumn id="5" name="의미·제약"/>
  </x:tableColumns>
  <x:tableStyleInfo name="TableStyleLight1" showFirstColumn="0" showLastColumn="0" showRowStripes="1" showColumnStripes="0"/>
</x:table>
</file>

<file path=xl/tables/table66.xml><?xml version="1.0" encoding="utf-8"?>
<x:table xmlns:x="http://schemas.openxmlformats.org/spreadsheetml/2006/main" id="87" name="Res029" displayName="Res029" ref="A23:D35" headerRowCount="1" totalsRowCount="0" totalsRowShown="0">
  <x:tableColumns count="4">
    <x:tableColumn id="1" name="필드 경로"/>
    <x:tableColumn id="2" name="타입"/>
    <x:tableColumn id="3" name="필수/nullable"/>
    <x:tableColumn id="4" name="필드 의미"/>
  </x:tableColumns>
  <x:tableStyleInfo name="TableStyleLight1" showFirstColumn="0" showLastColumn="0" showRowStripes="1" showColumnStripes="0"/>
</x:table>
</file>

<file path=xl/tables/table67.xml><?xml version="1.0" encoding="utf-8"?>
<x:table xmlns:x="http://schemas.openxmlformats.org/spreadsheetml/2006/main" id="88" name="Err029" displayName="Err029" ref="A38:E41" headerRowCount="1" totalsRowCount="0" totalsRowShown="0">
  <x:tableColumns count="5">
    <x:tableColumn id="1" name="HTTP 상태"/>
    <x:tableColumn id="2" name="오류 코드"/>
    <x:tableColumn id="3" name="발생 조건"/>
    <x:tableColumn id="4" name="프론트 처리"/>
    <x:tableColumn id="5" name="현재 상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3e7b367c0a49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4232a9b97d42ce" /><Relationship Type="http://schemas.openxmlformats.org/officeDocument/2006/relationships/table" Target="/xl/tables/table3.xml" Id="R4302e5da1e7442e3" /><Relationship Type="http://schemas.openxmlformats.org/officeDocument/2006/relationships/table" Target="/xl/tables/table4.xml" Id="Rd52c549612b5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869ad99e684b475a" /><Relationship Type="http://schemas.openxmlformats.org/officeDocument/2006/relationships/table" Target="/xl/tables/table6.xml" Id="R0e3a7d98b73344d9" /><Relationship Type="http://schemas.openxmlformats.org/officeDocument/2006/relationships/table" Target="/xl/tables/table7.xml" Id="R39e804512f27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76f03cce929f4257" /><Relationship Type="http://schemas.openxmlformats.org/officeDocument/2006/relationships/table" Target="/xl/tables/table9.xml" Id="Ra25cb241d3aa4a7c" /><Relationship Type="http://schemas.openxmlformats.org/officeDocument/2006/relationships/table" Target="/xl/tables/table10.xml" Id="Rf8b4b1d715c7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05e0c1f9516e46ac" /><Relationship Type="http://schemas.openxmlformats.org/officeDocument/2006/relationships/table" Target="/xl/tables/table12.xml" Id="R7530d31d71264321" /><Relationship Type="http://schemas.openxmlformats.org/officeDocument/2006/relationships/table" Target="/xl/tables/table13.xml" Id="Rda8cff9ee5d548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4.xml" Id="R8d7d96c27b3d4ab3" /><Relationship Type="http://schemas.openxmlformats.org/officeDocument/2006/relationships/table" Target="/xl/tables/table15.xml" Id="R6272b082da4c43ed" /><Relationship Type="http://schemas.openxmlformats.org/officeDocument/2006/relationships/table" Target="/xl/tables/table16.xml" Id="R4f2be225dd204a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7.xml" Id="R39a8132105d54997" /><Relationship Type="http://schemas.openxmlformats.org/officeDocument/2006/relationships/table" Target="/xl/tables/table18.xml" Id="R8333e6995fd94683" /><Relationship Type="http://schemas.openxmlformats.org/officeDocument/2006/relationships/table" Target="/xl/tables/table19.xml" Id="R92cf9eefb4ad4b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0.xml" Id="R88d93a5ab5734a51" /><Relationship Type="http://schemas.openxmlformats.org/officeDocument/2006/relationships/table" Target="/xl/tables/table21.xml" Id="Re281dc55e49949df" /><Relationship Type="http://schemas.openxmlformats.org/officeDocument/2006/relationships/table" Target="/xl/tables/table22.xml" Id="Rf14702958bdf4a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3.xml" Id="R77a592f2b0e143e9" /><Relationship Type="http://schemas.openxmlformats.org/officeDocument/2006/relationships/table" Target="/xl/tables/table24.xml" Id="R9087f922a1b04abe" /><Relationship Type="http://schemas.openxmlformats.org/officeDocument/2006/relationships/table" Target="/xl/tables/table25.xml" Id="R612a6720f83b4b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6.xml" Id="R2b993c46a70e4540" /><Relationship Type="http://schemas.openxmlformats.org/officeDocument/2006/relationships/table" Target="/xl/tables/table27.xml" Id="Rba7d2980ffb4443c" /><Relationship Type="http://schemas.openxmlformats.org/officeDocument/2006/relationships/table" Target="/xl/tables/table28.xml" Id="R6fb13cd1a15547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9.xml" Id="Rd26146bc179c46ec" /><Relationship Type="http://schemas.openxmlformats.org/officeDocument/2006/relationships/table" Target="/xl/tables/table30.xml" Id="R545ce42c7eb2443d" /><Relationship Type="http://schemas.openxmlformats.org/officeDocument/2006/relationships/table" Target="/xl/tables/table31.xml" Id="Ra3ea3e5a90b543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2.xml" Id="Ra669778bd41a45e9" /><Relationship Type="http://schemas.openxmlformats.org/officeDocument/2006/relationships/table" Target="/xl/tables/table33.xml" Id="Ra1cf2cf5cf974695" /><Relationship Type="http://schemas.openxmlformats.org/officeDocument/2006/relationships/table" Target="/xl/tables/table34.xml" Id="Rffe9259c278b47b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5.xml" Id="Rd218f7ac4492476d" /><Relationship Type="http://schemas.openxmlformats.org/officeDocument/2006/relationships/table" Target="/xl/tables/table36.xml" Id="R8fd0717e1e9a42e3" /><Relationship Type="http://schemas.openxmlformats.org/officeDocument/2006/relationships/table" Target="/xl/tables/table37.xml" Id="Rd4c09a152914474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8.xml" Id="R6d32369d37f34012" /><Relationship Type="http://schemas.openxmlformats.org/officeDocument/2006/relationships/table" Target="/xl/tables/table39.xml" Id="R2f826274311d41ec" /><Relationship Type="http://schemas.openxmlformats.org/officeDocument/2006/relationships/table" Target="/xl/tables/table40.xml" Id="R10618d3fcd9a461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1.xml" Id="R2f9925a68436432c" /><Relationship Type="http://schemas.openxmlformats.org/officeDocument/2006/relationships/table" Target="/xl/tables/table42.xml" Id="R32a606dd2e4a47b7" /><Relationship Type="http://schemas.openxmlformats.org/officeDocument/2006/relationships/table" Target="/xl/tables/table43.xml" Id="R3a89f1bdde7840c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4.xml" Id="R61dd6ae506c04f18" /><Relationship Type="http://schemas.openxmlformats.org/officeDocument/2006/relationships/table" Target="/xl/tables/table45.xml" Id="Ra806f0254b724ade" /><Relationship Type="http://schemas.openxmlformats.org/officeDocument/2006/relationships/table" Target="/xl/tables/table46.xml" Id="R3c56f0ddabd64f9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47.xml" Id="R1c4065f24cae4d53" /><Relationship Type="http://schemas.openxmlformats.org/officeDocument/2006/relationships/table" Target="/xl/tables/table48.xml" Id="Ree296946ce93457b" /><Relationship Type="http://schemas.openxmlformats.org/officeDocument/2006/relationships/table" Target="/xl/tables/table49.xml" Id="R13151ae9ad4d4c0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50.xml" Id="R922a6b6950dd47df" /><Relationship Type="http://schemas.openxmlformats.org/officeDocument/2006/relationships/table" Target="/xl/tables/table51.xml" Id="R5c7b90d007224886" /><Relationship Type="http://schemas.openxmlformats.org/officeDocument/2006/relationships/table" Target="/xl/tables/table52.xml" Id="R0581a18f4b534d2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53.xml" Id="R379f09f09e4940ae" /><Relationship Type="http://schemas.openxmlformats.org/officeDocument/2006/relationships/table" Target="/xl/tables/table54.xml" Id="Rfa6dcab7352f403b" /><Relationship Type="http://schemas.openxmlformats.org/officeDocument/2006/relationships/table" Target="/xl/tables/table55.xml" Id="R8fee6d8e1a9d483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56.xml" Id="R8ffa4a301c274a99" /><Relationship Type="http://schemas.openxmlformats.org/officeDocument/2006/relationships/table" Target="/xl/tables/table57.xml" Id="Radaa916abda74009" /><Relationship Type="http://schemas.openxmlformats.org/officeDocument/2006/relationships/table" Target="/xl/tables/table58.xml" Id="R9e1623394a304dd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59.xml" Id="R53e28f3ca29447f3" /><Relationship Type="http://schemas.openxmlformats.org/officeDocument/2006/relationships/table" Target="/xl/tables/table60.xml" Id="Rfd3e9e751a80451a" /><Relationship Type="http://schemas.openxmlformats.org/officeDocument/2006/relationships/table" Target="/xl/tables/table61.xml" Id="R22ee03871cba4c8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62.xml" Id="Rcc05975712f64302" /><Relationship Type="http://schemas.openxmlformats.org/officeDocument/2006/relationships/table" Target="/xl/tables/table63.xml" Id="Racf81fa7427b44b5" /><Relationship Type="http://schemas.openxmlformats.org/officeDocument/2006/relationships/table" Target="/xl/tables/table64.xml" Id="R4706477383b34a3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65.xml" Id="R76c50de904c54ad0" /><Relationship Type="http://schemas.openxmlformats.org/officeDocument/2006/relationships/table" Target="/xl/tables/table66.xml" Id="R3dced20f9af5468a" /><Relationship Type="http://schemas.openxmlformats.org/officeDocument/2006/relationships/table" Target="/xl/tables/table67.xml" Id="Rfb610b31d7d2457d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52" customWidth="1"/>
    <x:col min="4" max="4" width="42" customWidth="1"/>
    <x:col min="5" max="5" width="15" customWidth="1"/>
    <x:col min="6" max="6" width="18" customWidth="1"/>
    <x:col min="7" max="7" width="23" customWidth="1"/>
    <x:col min="8" max="8" width="16" customWidth="1"/>
  </x:cols>
  <x:sheetData>
    <x:row r="1" ht="38" customHeight="1">
      <x:c r="A1" s="105" t="inlineStr">
        <x:is>
          <x:t xml:space="preserve">Rewrite Frontend API Guide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 ht="28" customHeight="1">
      <x:c r="A2" s="107" t="str">
        <x:v>API를 클릭하면 상세 페이지로 이동합니다.  |  최근 변경: 2026-07-16 02:52:37 Asia/Seoul</x:v>
      </x:c>
      <x:c r="B2" s="106" t="n"/>
      <x:c r="C2" s="106" t="n"/>
      <x:c r="D2" s="106" t="n"/>
      <x:c r="E2" s="106" t="n"/>
      <x:c r="F2" s="106" t="n"/>
      <x:c r="G2" s="106" t="n"/>
      <x:c r="H2" s="106" t="n"/>
    </x:row>
    <x:row r="5">
      <x:c r="A5" s="31" t="inlineStr">
        <x:is>
          <x:t xml:space="preserve">API ID</x:t>
        </x:is>
      </x:c>
      <x:c r="B5" s="32" t="inlineStr">
        <x:is>
          <x:t xml:space="preserve">Method</x:t>
        </x:is>
      </x:c>
      <x:c r="C5" s="32" t="inlineStr">
        <x:is>
          <x:t xml:space="preserve">Path</x:t>
        </x:is>
      </x:c>
      <x:c r="D5" s="32" t="inlineStr">
        <x:is>
          <x:t xml:space="preserve">기능</x:t>
        </x:is>
      </x:c>
      <x:c r="E5" s="32" t="inlineStr">
        <x:is>
          <x:t xml:space="preserve">가용 상태</x:t>
        </x:is>
      </x:c>
      <x:c r="F5" s="32" t="inlineStr">
        <x:is>
          <x:t xml:space="preserve">성공 상태</x:t>
        </x:is>
      </x:c>
      <x:c r="G5" s="32" t="inlineStr">
        <x:is>
          <x:t xml:space="preserve">최근 변경</x:t>
        </x:is>
      </x:c>
      <x:c r="H5" s="33" t="inlineStr">
        <x:is>
          <x:t xml:space="preserve">상세</x:t>
        </x:is>
      </x:c>
    </x:row>
    <x:row r="6">
      <x:c r="A6" s="34" t="str">
        <x:f>IFERROR(HYPERLINK("#'API-001'!A1","API-001"),"API-001")</x:f>
        <x:v>API-001</x:v>
      </x:c>
      <x:c r="B6" s="35" t="inlineStr">
        <x:is>
          <x:t xml:space="preserve">GET</x:t>
        </x:is>
      </x:c>
      <x:c r="C6" s="46" t="inlineStr">
        <x:is>
          <x:t xml:space="preserve">/auth/kakao/authorize</x:t>
        </x:is>
      </x:c>
      <x:c r="D6" s="46" t="inlineStr">
        <x:is>
          <x:t xml:space="preserve">카카오 로그인 시작</x:t>
        </x:is>
      </x:c>
      <x:c r="E6" s="35" t="inlineStr">
        <x:is>
          <x:t xml:space="preserve">미구현·호출 금지</x:t>
        </x:is>
      </x:c>
      <x:c r="F6" s="35" t="inlineStr">
        <x:is>
          <x:t xml:space="preserve">302 Found</x:t>
        </x:is>
      </x:c>
      <x:c r="G6" s="108" t="n">
        <x:v>46218.92674768518</x:v>
      </x:c>
      <x:c r="H6" s="37" t="str">
        <x:f>IFERROR(HYPERLINK("#'API-001'!A1","상세 보기 →"),"상세 보기 →")</x:f>
        <x:v>상세 보기 →</x:v>
      </x:c>
    </x:row>
    <x:row r="7">
      <x:c r="A7" s="38" t="str">
        <x:f>IFERROR(HYPERLINK("#'API-002'!A1","API-002"),"API-002")</x:f>
        <x:v>API-002</x:v>
      </x:c>
      <x:c r="B7" s="39" t="inlineStr">
        <x:is>
          <x:t xml:space="preserve">GET</x:t>
        </x:is>
      </x:c>
      <x:c r="C7" s="47" t="inlineStr">
        <x:is>
          <x:t xml:space="preserve">/auth/kakao/callback</x:t>
        </x:is>
      </x:c>
      <x:c r="D7" s="47" t="inlineStr">
        <x:is>
          <x:t xml:space="preserve">카카오 OAuth callback</x:t>
        </x:is>
      </x:c>
      <x:c r="E7" s="39" t="inlineStr">
        <x:is>
          <x:t xml:space="preserve">미구현·호출 금지</x:t>
        </x:is>
      </x:c>
      <x:c r="F7" s="39" t="inlineStr">
        <x:is>
          <x:t xml:space="preserve">302 Found</x:t>
        </x:is>
      </x:c>
      <x:c r="G7" s="109" t="n">
        <x:v>46218.92674768518</x:v>
      </x:c>
      <x:c r="H7" s="41" t="str">
        <x:f>IFERROR(HYPERLINK("#'API-002'!A1","상세 보기 →"),"상세 보기 →")</x:f>
        <x:v>상세 보기 →</x:v>
      </x:c>
    </x:row>
    <x:row r="8">
      <x:c r="A8" s="38" t="str">
        <x:f>IFERROR(HYPERLINK("#'API-003'!A1","API-003"),"API-003")</x:f>
        <x:v>API-003</x:v>
      </x:c>
      <x:c r="B8" s="39" t="inlineStr">
        <x:is>
          <x:t xml:space="preserve">GET</x:t>
        </x:is>
      </x:c>
      <x:c r="C8" s="47" t="inlineStr">
        <x:is>
          <x:t xml:space="preserve">/auth/csrf-token</x:t>
        </x:is>
      </x:c>
      <x:c r="D8" s="47" t="inlineStr">
        <x:is>
          <x:t xml:space="preserve">상태 변경 요청용 CSRF 토큰</x:t>
        </x:is>
      </x:c>
      <x:c r="E8" s="39" t="inlineStr">
        <x:is>
          <x:t xml:space="preserve">미구현·호출 금지</x:t>
        </x:is>
      </x:c>
      <x:c r="F8" s="39" t="inlineStr">
        <x:is>
          <x:t xml:space="preserve">200 OK</x:t>
        </x:is>
      </x:c>
      <x:c r="G8" s="109" t="n">
        <x:v>46218.92674768518</x:v>
      </x:c>
      <x:c r="H8" s="41" t="str">
        <x:f>IFERROR(HYPERLINK("#'API-003'!A1","상세 보기 →"),"상세 보기 →")</x:f>
        <x:v>상세 보기 →</x:v>
      </x:c>
    </x:row>
    <x:row r="9">
      <x:c r="A9" s="38" t="str">
        <x:f>IFERROR(HYPERLINK("#'API-004'!A1","API-004"),"API-004")</x:f>
        <x:v>API-004</x:v>
      </x:c>
      <x:c r="B9" s="39" t="inlineStr">
        <x:is>
          <x:t xml:space="preserve">POST</x:t>
        </x:is>
      </x:c>
      <x:c r="C9" s="47" t="inlineStr">
        <x:is>
          <x:t xml:space="preserve">/auth/refresh</x:t>
        </x:is>
      </x:c>
      <x:c r="D9" s="47" t="inlineStr">
        <x:is>
          <x:t xml:space="preserve">refresh token rotation</x:t>
        </x:is>
      </x:c>
      <x:c r="E9" s="39" t="inlineStr">
        <x:is>
          <x:t xml:space="preserve">미구현·호출 금지</x:t>
        </x:is>
      </x:c>
      <x:c r="F9" s="39" t="inlineStr">
        <x:is>
          <x:t xml:space="preserve">200 OK</x:t>
        </x:is>
      </x:c>
      <x:c r="G9" s="109" t="n">
        <x:v>46218.92674768518</x:v>
      </x:c>
      <x:c r="H9" s="41" t="str">
        <x:f>IFERROR(HYPERLINK("#'API-004'!A1","상세 보기 →"),"상세 보기 →")</x:f>
        <x:v>상세 보기 →</x:v>
      </x:c>
    </x:row>
    <x:row r="10">
      <x:c r="A10" s="38" t="str">
        <x:f>IFERROR(HYPERLINK("#'API-005'!A1","API-005"),"API-005")</x:f>
        <x:v>API-005</x:v>
      </x:c>
      <x:c r="B10" s="39" t="inlineStr">
        <x:is>
          <x:t xml:space="preserve">GET</x:t>
        </x:is>
      </x:c>
      <x:c r="C10" s="47" t="inlineStr">
        <x:is>
          <x:t xml:space="preserve">/user/me</x:t>
        </x:is>
      </x:c>
      <x:c r="D10" s="47" t="inlineStr">
        <x:is>
          <x:t xml:space="preserve">내 정보 조회</x:t>
        </x:is>
      </x:c>
      <x:c r="E10" s="39" t="inlineStr">
        <x:is>
          <x:t xml:space="preserve">미구현·호출 금지</x:t>
        </x:is>
      </x:c>
      <x:c r="F10" s="39" t="inlineStr">
        <x:is>
          <x:t xml:space="preserve">200 OK</x:t>
        </x:is>
      </x:c>
      <x:c r="G10" s="109" t="n">
        <x:v>46218.92674768518</x:v>
      </x:c>
      <x:c r="H10" s="41" t="str">
        <x:f>IFERROR(HYPERLINK("#'API-005'!A1","상세 보기 →"),"상세 보기 →")</x:f>
        <x:v>상세 보기 →</x:v>
      </x:c>
    </x:row>
    <x:row r="11">
      <x:c r="A11" s="38" t="str">
        <x:f>IFERROR(HYPERLINK("#'API-006'!A1","API-006"),"API-006")</x:f>
        <x:v>API-006</x:v>
      </x:c>
      <x:c r="B11" s="39" t="inlineStr">
        <x:is>
          <x:t xml:space="preserve">POST</x:t>
        </x:is>
      </x:c>
      <x:c r="C11" s="47" t="inlineStr">
        <x:is>
          <x:t xml:space="preserve">/auth/logout</x:t>
        </x:is>
      </x:c>
      <x:c r="D11" s="47" t="inlineStr">
        <x:is>
          <x:t xml:space="preserve">로그아웃</x:t>
        </x:is>
      </x:c>
      <x:c r="E11" s="39" t="inlineStr">
        <x:is>
          <x:t xml:space="preserve">미구현·호출 금지</x:t>
        </x:is>
      </x:c>
      <x:c r="F11" s="39" t="inlineStr">
        <x:is>
          <x:t xml:space="preserve">200 OK</x:t>
        </x:is>
      </x:c>
      <x:c r="G11" s="109" t="n">
        <x:v>46218.92674768518</x:v>
      </x:c>
      <x:c r="H11" s="41" t="str">
        <x:f>IFERROR(HYPERLINK("#'API-006'!A1","상세 보기 →"),"상세 보기 →")</x:f>
        <x:v>상세 보기 →</x:v>
      </x:c>
    </x:row>
    <x:row r="12" ht="19.5" customHeight="1">
      <x:c r="A12" s="38" t="str">
        <x:f>IFERROR(HYPERLINK("#'API-007'!A1","API-007"),"API-007")</x:f>
        <x:v>API-007</x:v>
      </x:c>
      <x:c r="B12" s="39" t="str">
        <x:v>GET</x:v>
      </x:c>
      <x:c r="C12" s="47" t="str">
        <x:v>/cover-letters</x:v>
      </x:c>
      <x:c r="D12" s="47" t="str">
        <x:v>내 자기소개서 목록</x:v>
      </x:c>
      <x:c r="E12" s="39" t="str">
        <x:v>부분 구현</x:v>
      </x:c>
      <x:c r="F12" s="39" t="str">
        <x:v>200 OK</x:v>
      </x:c>
      <x:c r="G12" s="109" t="str">
        <x:v>2026-07-16 02:52:37</x:v>
      </x:c>
      <x:c r="H12" s="41" t="str">
        <x:f>IFERROR(HYPERLINK("#'API-007'!A1","상세 보기 →"),"상세 보기 →")</x:f>
        <x:v>상세 보기 →</x:v>
      </x:c>
    </x:row>
    <x:row r="13">
      <x:c r="A13" s="38" t="str">
        <x:f>IFERROR(HYPERLINK("#'API-008'!A1","API-008"),"API-008")</x:f>
        <x:v>API-008</x:v>
      </x:c>
      <x:c r="B13" s="39" t="inlineStr">
        <x:is>
          <x:t xml:space="preserve">POST</x:t>
        </x:is>
      </x:c>
      <x:c r="C13" s="47" t="inlineStr">
        <x:is>
          <x:t xml:space="preserve">/cover-letters</x:t>
        </x:is>
      </x:c>
      <x:c r="D13" s="47" t="inlineStr">
        <x:is>
          <x:t xml:space="preserve">자기소개서 초안 생성</x:t>
        </x:is>
      </x:c>
      <x:c r="E13" s="39" t="inlineStr">
        <x:is>
          <x:t xml:space="preserve">사용 가능</x:t>
        </x:is>
      </x:c>
      <x:c r="F13" s="39" t="inlineStr">
        <x:is>
          <x:t xml:space="preserve">201 Created</x:t>
        </x:is>
      </x:c>
      <x:c r="G13" s="109" t="n">
        <x:v>46218.92674768518</x:v>
      </x:c>
      <x:c r="H13" s="41" t="str">
        <x:f>IFERROR(HYPERLINK("#'API-008'!A1","상세 보기 →"),"상세 보기 →")</x:f>
        <x:v>상세 보기 →</x:v>
      </x:c>
    </x:row>
    <x:row r="14">
      <x:c r="A14" s="38" t="str">
        <x:f>IFERROR(HYPERLINK("#'API-009'!A1","API-009"),"API-009")</x:f>
        <x:v>API-009</x:v>
      </x:c>
      <x:c r="B14" s="39" t="inlineStr">
        <x:is>
          <x:t xml:space="preserve">PUT</x:t>
        </x:is>
      </x:c>
      <x:c r="C14" s="47" t="inlineStr">
        <x:is>
          <x:t xml:space="preserve">/cover-letters/{coverLetterId}/basic-info</x:t>
        </x:is>
      </x:c>
      <x:c r="D14" s="47" t="inlineStr">
        <x:is>
          <x:t xml:space="preserve">등록 step1 저장</x:t>
        </x:is>
      </x:c>
      <x:c r="E14" s="39" t="inlineStr">
        <x:is>
          <x:t xml:space="preserve">사용 가능</x:t>
        </x:is>
      </x:c>
      <x:c r="F14" s="39" t="inlineStr">
        <x:is>
          <x:t xml:space="preserve">200 OK</x:t>
        </x:is>
      </x:c>
      <x:c r="G14" s="109" t="n">
        <x:v>46218.92674768518</x:v>
      </x:c>
      <x:c r="H14" s="41" t="str">
        <x:f>IFERROR(HYPERLINK("#'API-009'!A1","상세 보기 →"),"상세 보기 →")</x:f>
        <x:v>상세 보기 →</x:v>
      </x:c>
    </x:row>
    <x:row r="15">
      <x:c r="A15" s="38" t="str">
        <x:f>IFERROR(HYPERLINK("#'API-010'!A1","API-010"),"API-010")</x:f>
        <x:v>API-010</x:v>
      </x:c>
      <x:c r="B15" s="39" t="inlineStr">
        <x:is>
          <x:t xml:space="preserve">PUT</x:t>
        </x:is>
      </x:c>
      <x:c r="C15" s="47" t="inlineStr">
        <x:is>
          <x:t xml:space="preserve">/cover-letters/{coverLetterId}/preferences</x:t>
        </x:is>
      </x:c>
      <x:c r="D15" s="47" t="inlineStr">
        <x:is>
          <x:t xml:space="preserve">등록 step2 저장</x:t>
        </x:is>
      </x:c>
      <x:c r="E15" s="39" t="inlineStr">
        <x:is>
          <x:t xml:space="preserve">사용 가능</x:t>
        </x:is>
      </x:c>
      <x:c r="F15" s="39" t="inlineStr">
        <x:is>
          <x:t xml:space="preserve">200 OK</x:t>
        </x:is>
      </x:c>
      <x:c r="G15" s="109" t="n">
        <x:v>46218.92674768518</x:v>
      </x:c>
      <x:c r="H15" s="41" t="str">
        <x:f>IFERROR(HYPERLINK("#'API-010'!A1","상세 보기 →"),"상세 보기 →")</x:f>
        <x:v>상세 보기 →</x:v>
      </x:c>
    </x:row>
    <x:row r="16">
      <x:c r="A16" s="38" t="str">
        <x:f>IFERROR(HYPERLINK("#'API-011'!A1","API-011"),"API-011")</x:f>
        <x:v>API-011</x:v>
      </x:c>
      <x:c r="B16" s="39" t="inlineStr">
        <x:is>
          <x:t xml:space="preserve">PUT</x:t>
        </x:is>
      </x:c>
      <x:c r="C16" s="47" t="inlineStr">
        <x:is>
          <x:t xml:space="preserve">/cover-letters/{coverLetterId}/questions</x:t>
        </x:is>
      </x:c>
      <x:c r="D16" s="47" t="inlineStr">
        <x:is>
          <x:t xml:space="preserve">등록 step3 저장</x:t>
        </x:is>
      </x:c>
      <x:c r="E16" s="39" t="inlineStr">
        <x:is>
          <x:t xml:space="preserve">사용 가능</x:t>
        </x:is>
      </x:c>
      <x:c r="F16" s="39" t="inlineStr">
        <x:is>
          <x:t xml:space="preserve">200 OK</x:t>
        </x:is>
      </x:c>
      <x:c r="G16" s="109" t="n">
        <x:v>46218.92674768518</x:v>
      </x:c>
      <x:c r="H16" s="41" t="str">
        <x:f>IFERROR(HYPERLINK("#'API-011'!A1","상세 보기 →"),"상세 보기 →")</x:f>
        <x:v>상세 보기 →</x:v>
      </x:c>
    </x:row>
    <x:row r="17" ht="19.5" customHeight="1">
      <x:c r="A17" s="38" t="str">
        <x:f>IFERROR(HYPERLINK("#'API-012'!A1","API-012"),"API-012")</x:f>
        <x:v>API-012</x:v>
      </x:c>
      <x:c r="B17" s="39" t="str">
        <x:v>GET</x:v>
      </x:c>
      <x:c r="C17" s="47" t="str">
        <x:v>/cover-letters/{coverLetterId}</x:v>
      </x:c>
      <x:c r="D17" s="47" t="str">
        <x:v>상태 공통 자기소개서 상세</x:v>
      </x:c>
      <x:c r="E17" s="39" t="str">
        <x:v>미구현·호출 금지</x:v>
      </x:c>
      <x:c r="F17" s="39" t="str">
        <x:v>200 OK</x:v>
      </x:c>
      <x:c r="G17" s="109" t="str">
        <x:v>2026-07-16 02:52:37</x:v>
      </x:c>
      <x:c r="H17" s="41" t="str">
        <x:f>IFERROR(HYPERLINK("#'API-012'!A1","상세 보기 →"),"상세 보기 →")</x:f>
        <x:v>상세 보기 →</x:v>
      </x:c>
    </x:row>
    <x:row r="18">
      <x:c r="A18" s="38" t="str">
        <x:f>IFERROR(HYPERLINK("#'API-013'!A1","API-013"),"API-013")</x:f>
        <x:v>API-013</x:v>
      </x:c>
      <x:c r="B18" s="39" t="inlineStr">
        <x:is>
          <x:t xml:space="preserve">DELETE</x:t>
        </x:is>
      </x:c>
      <x:c r="C18" s="47" t="inlineStr">
        <x:is>
          <x:t xml:space="preserve">/cover-letters/{coverLetterId}</x:t>
        </x:is>
      </x:c>
      <x:c r="D18" s="47" t="inlineStr">
        <x:is>
          <x:t xml:space="preserve">자기소개서 soft delete</x:t>
        </x:is>
      </x:c>
      <x:c r="E18" s="39" t="inlineStr">
        <x:is>
          <x:t xml:space="preserve">사용 가능</x:t>
        </x:is>
      </x:c>
      <x:c r="F18" s="39" t="inlineStr">
        <x:is>
          <x:t xml:space="preserve">200 OK</x:t>
        </x:is>
      </x:c>
      <x:c r="G18" s="109" t="n">
        <x:v>46218.92674768518</x:v>
      </x:c>
      <x:c r="H18" s="41" t="str">
        <x:f>IFERROR(HYPERLINK("#'API-013'!A1","상세 보기 →"),"상세 보기 →")</x:f>
        <x:v>상세 보기 →</x:v>
      </x:c>
    </x:row>
    <x:row r="19" ht="19.5" customHeight="1">
      <x:c r="A19" s="38" t="str">
        <x:f>IFERROR(HYPERLINK("#'API-014'!A1","API-014"),"API-014")</x:f>
        <x:v>API-014</x:v>
      </x:c>
      <x:c r="B19" s="39" t="str">
        <x:v>POST</x:v>
      </x:c>
      <x:c r="C19" s="47" t="str">
        <x:v>/cover-letters/{coverLetterId}/submit</x:v>
      </x:c>
      <x:c r="D19" s="47" t="str">
        <x:v>자기소개서 제출 및 최초 첨삭 Job 생성</x:v>
      </x:c>
      <x:c r="E19" s="39" t="str">
        <x:v>부분 구현</x:v>
      </x:c>
      <x:c r="F19" s="39" t="str">
        <x:v>200 OK</x:v>
      </x:c>
      <x:c r="G19" s="109" t="str">
        <x:v>2026-07-16 02:52:37</x:v>
      </x:c>
      <x:c r="H19" s="41" t="str">
        <x:f>IFERROR(HYPERLINK("#'API-014'!A1","상세 보기 →"),"상세 보기 →")</x:f>
        <x:v>상세 보기 →</x:v>
      </x:c>
    </x:row>
    <x:row r="20">
      <x:c r="A20" s="38" t="str">
        <x:f>IFERROR(HYPERLINK("#'API-015'!A1","API-015"),"API-015")</x:f>
        <x:v>API-015</x:v>
      </x:c>
      <x:c r="B20" s="39" t="inlineStr">
        <x:is>
          <x:t xml:space="preserve">GET</x:t>
        </x:is>
      </x:c>
      <x:c r="C20" s="47" t="inlineStr">
        <x:is>
          <x:t xml:space="preserve">/llm-jobs/{jobId}</x:t>
        </x:is>
      </x:c>
      <x:c r="D20" s="47" t="inlineStr">
        <x:is>
          <x:t xml:space="preserve">LLM Job 상태 조회</x:t>
        </x:is>
      </x:c>
      <x:c r="E20" s="39" t="inlineStr">
        <x:is>
          <x:t xml:space="preserve">사용 가능</x:t>
        </x:is>
      </x:c>
      <x:c r="F20" s="39" t="inlineStr">
        <x:is>
          <x:t xml:space="preserve">200 OK</x:t>
        </x:is>
      </x:c>
      <x:c r="G20" s="109" t="n">
        <x:v>46219.004155092596</x:v>
      </x:c>
      <x:c r="H20" s="41" t="str">
        <x:f>IFERROR(HYPERLINK("#'API-015'!A1","상세 보기 →"),"상세 보기 →")</x:f>
        <x:v>상세 보기 →</x:v>
      </x:c>
    </x:row>
    <x:row r="21" ht="19.5" customHeight="1">
      <x:c r="A21" s="38" t="str">
        <x:f>IFERROR(HYPERLINK("#'API-016'!A1","API-016"),"API-016")</x:f>
        <x:v>API-016</x:v>
      </x:c>
      <x:c r="B21" s="39" t="str">
        <x:v>GET</x:v>
      </x:c>
      <x:c r="C21" s="47" t="str">
        <x:v>/llm-jobs/{jobId}/stream</x:v>
      </x:c>
      <x:c r="D21" s="47" t="str">
        <x:v>첨삭 문항 완료 SSE</x:v>
      </x:c>
      <x:c r="E21" s="39" t="str">
        <x:v>미구현·호출 금지</x:v>
      </x:c>
      <x:c r="F21" s="39" t="str">
        <x:v>200 OK</x:v>
      </x:c>
      <x:c r="G21" s="109" t="str">
        <x:v>2026-07-16 02:52:37</x:v>
      </x:c>
      <x:c r="H21" s="41" t="str">
        <x:f>IFERROR(HYPERLINK("#'API-016'!A1","상세 보기 →"),"상세 보기 →")</x:f>
        <x:v>상세 보기 →</x:v>
      </x:c>
    </x:row>
    <x:row r="22">
      <x:c r="A22" s="38" t="str">
        <x:f>IFERROR(HYPERLINK("#'API-017'!A1","API-017"),"API-017")</x:f>
        <x:v>API-017</x:v>
      </x:c>
      <x:c r="B22" s="39" t="inlineStr">
        <x:is>
          <x:t xml:space="preserve">GET</x:t>
        </x:is>
      </x:c>
      <x:c r="C22" s="47" t="inlineStr">
        <x:is>
          <x:t xml:space="preserve">/cover-letters/{coverLetterId}/review-versions</x:t>
        </x:is>
      </x:c>
      <x:c r="D22" s="47" t="inlineStr">
        <x:is>
          <x:t xml:space="preserve">첨삭 버전 목록</x:t>
        </x:is>
      </x:c>
      <x:c r="E22" s="39" t="inlineStr">
        <x:is>
          <x:t xml:space="preserve">사용 가능</x:t>
        </x:is>
      </x:c>
      <x:c r="F22" s="39" t="inlineStr">
        <x:is>
          <x:t xml:space="preserve">200 OK</x:t>
        </x:is>
      </x:c>
      <x:c r="G22" s="109" t="n">
        <x:v>46218.92674768518</x:v>
      </x:c>
      <x:c r="H22" s="41" t="str">
        <x:f>IFERROR(HYPERLINK("#'API-017'!A1","상세 보기 →"),"상세 보기 →")</x:f>
        <x:v>상세 보기 →</x:v>
      </x:c>
    </x:row>
    <x:row r="23" ht="19.5" customHeight="1">
      <x:c r="A23" s="38" t="str">
        <x:f>IFERROR(HYPERLINK("#'API-018'!A1","API-018"),"API-018")</x:f>
        <x:v>API-018</x:v>
      </x:c>
      <x:c r="B23" s="39" t="str">
        <x:v>GET</x:v>
      </x:c>
      <x:c r="C23" s="47" t="str">
        <x:v>/cover-letters/{coverLetterId}/review-versions/{versionId}</x:v>
      </x:c>
      <x:c r="D23" s="47" t="str">
        <x:v>선택 첨삭 버전 상세</x:v>
      </x:c>
      <x:c r="E23" s="39" t="str">
        <x:v>부분 구현</x:v>
      </x:c>
      <x:c r="F23" s="39" t="str">
        <x:v>200 OK</x:v>
      </x:c>
      <x:c r="G23" s="109" t="str">
        <x:v>2026-07-16 02:52:37</x:v>
      </x:c>
      <x:c r="H23" s="41" t="str">
        <x:f>IFERROR(HYPERLINK("#'API-018'!A1","상세 보기 →"),"상세 보기 →")</x:f>
        <x:v>상세 보기 →</x:v>
      </x:c>
    </x:row>
    <x:row r="24">
      <x:c r="A24" s="38" t="str">
        <x:f>IFERROR(HYPERLINK("#'API-019'!A1","API-019"),"API-019")</x:f>
        <x:v>API-019</x:v>
      </x:c>
      <x:c r="B24" s="39" t="inlineStr">
        <x:is>
          <x:t xml:space="preserve">PUT</x:t>
        </x:is>
      </x:c>
      <x:c r="C24" s="47" t="inlineStr">
        <x:is>
          <x:t xml:space="preserve">/cover-letters/{coverLetterId}/review-versions/{versionId}/final-answers</x:t>
        </x:is>
      </x:c>
      <x:c r="D24" s="47" t="inlineStr">
        <x:is>
          <x:t xml:space="preserve">최종 작성본 일괄 저장</x:t>
        </x:is>
      </x:c>
      <x:c r="E24" s="39" t="inlineStr">
        <x:is>
          <x:t xml:space="preserve">사용 가능</x:t>
        </x:is>
      </x:c>
      <x:c r="F24" s="39" t="inlineStr">
        <x:is>
          <x:t xml:space="preserve">200 OK</x:t>
        </x:is>
      </x:c>
      <x:c r="G24" s="109" t="n">
        <x:v>46218.92674768518</x:v>
      </x:c>
      <x:c r="H24" s="41" t="str">
        <x:f>IFERROR(HYPERLINK("#'API-019'!A1","상세 보기 →"),"상세 보기 →")</x:f>
        <x:v>상세 보기 →</x:v>
      </x:c>
    </x:row>
    <x:row r="25">
      <x:c r="A25" s="38" t="str">
        <x:f>IFERROR(HYPERLINK("#'API-020'!A1","API-020"),"API-020")</x:f>
        <x:v>API-020</x:v>
      </x:c>
      <x:c r="B25" s="39" t="inlineStr">
        <x:is>
          <x:t xml:space="preserve">POST</x:t>
        </x:is>
      </x:c>
      <x:c r="C25" s="47" t="inlineStr">
        <x:is>
          <x:t xml:space="preserve">/cover-letters/{coverLetterId}/keyword-analysis</x:t>
        </x:is>
      </x:c>
      <x:c r="D25" s="47" t="inlineStr">
        <x:is>
          <x:t xml:space="preserve">키워드 분석 시작/재분석</x:t>
        </x:is>
      </x:c>
      <x:c r="E25" s="39" t="inlineStr">
        <x:is>
          <x:t xml:space="preserve">사용 가능</x:t>
        </x:is>
      </x:c>
      <x:c r="F25" s="39" t="inlineStr">
        <x:is>
          <x:t xml:space="preserve">200 OK</x:t>
        </x:is>
      </x:c>
      <x:c r="G25" s="109" t="n">
        <x:v>46218.92674768518</x:v>
      </x:c>
      <x:c r="H25" s="41" t="str">
        <x:f>IFERROR(HYPERLINK("#'API-020'!A1","상세 보기 →"),"상세 보기 →")</x:f>
        <x:v>상세 보기 →</x:v>
      </x:c>
    </x:row>
    <x:row r="26" ht="19.5" customHeight="1">
      <x:c r="A26" s="38" t="str">
        <x:f>IFERROR(HYPERLINK("#'API-021'!A1","API-021"),"API-021")</x:f>
        <x:v>API-021</x:v>
      </x:c>
      <x:c r="B26" s="39" t="str">
        <x:v>GET</x:v>
      </x:c>
      <x:c r="C26" s="47" t="str">
        <x:v>/cover-letters/{coverLetterId}/keyword-analysis/latest</x:v>
      </x:c>
      <x:c r="D26" s="47" t="str">
        <x:v>최신 키워드 분석 화면 조회</x:v>
      </x:c>
      <x:c r="E26" s="39" t="str">
        <x:v>부분 구현</x:v>
      </x:c>
      <x:c r="F26" s="39" t="str">
        <x:v>200 OK</x:v>
      </x:c>
      <x:c r="G26" s="109" t="str">
        <x:v>2026-07-16 02:52:37</x:v>
      </x:c>
      <x:c r="H26" s="41" t="str">
        <x:f>IFERROR(HYPERLINK("#'API-021'!A1","상세 보기 →"),"상세 보기 →")</x:f>
        <x:v>상세 보기 →</x:v>
      </x:c>
    </x:row>
    <x:row r="27">
      <x:c r="A27" s="38" t="str">
        <x:f>IFERROR(HYPERLINK("#'API-022'!A1","API-022"),"API-022")</x:f>
        <x:v>API-022</x:v>
      </x:c>
      <x:c r="B27" s="39" t="inlineStr">
        <x:is>
          <x:t xml:space="preserve">POST</x:t>
        </x:is>
      </x:c>
      <x:c r="C27" s="47" t="inlineStr">
        <x:is>
          <x:t xml:space="preserve">/cover-letters/{coverLetterId}/interviews</x:t>
        </x:is>
      </x:c>
      <x:c r="D27" s="47" t="inlineStr">
        <x:is>
          <x:t xml:space="preserve">면접 세션과 초기 질문 생성 Job 생성</x:t>
        </x:is>
      </x:c>
      <x:c r="E27" s="39" t="inlineStr">
        <x:is>
          <x:t xml:space="preserve">사용 가능</x:t>
        </x:is>
      </x:c>
      <x:c r="F27" s="39" t="inlineStr">
        <x:is>
          <x:t xml:space="preserve">200 OK</x:t>
        </x:is>
      </x:c>
      <x:c r="G27" s="109" t="n">
        <x:v>46218.92674768518</x:v>
      </x:c>
      <x:c r="H27" s="41" t="str">
        <x:f>IFERROR(HYPERLINK("#'API-022'!A1","상세 보기 →"),"상세 보기 →")</x:f>
        <x:v>상세 보기 →</x:v>
      </x:c>
    </x:row>
    <x:row r="28">
      <x:c r="A28" s="38" t="str">
        <x:f>IFERROR(HYPERLINK("#'API-023'!A1","API-023"),"API-023")</x:f>
        <x:v>API-023</x:v>
      </x:c>
      <x:c r="B28" s="39" t="inlineStr">
        <x:is>
          <x:t xml:space="preserve">POST</x:t>
        </x:is>
      </x:c>
      <x:c r="C28" s="47" t="inlineStr">
        <x:is>
          <x:t xml:space="preserve">/interview-threads/{threadId}/messages</x:t>
        </x:is>
      </x:c>
      <x:c r="D28" s="47" t="inlineStr">
        <x:is>
          <x:t xml:space="preserve">USER 답변 저장, 피드백 Job 실행, ASSISTANT 피드백 메시지 저장</x:t>
        </x:is>
      </x:c>
      <x:c r="E28" s="39" t="inlineStr">
        <x:is>
          <x:t xml:space="preserve">사용 가능</x:t>
        </x:is>
      </x:c>
      <x:c r="F28" s="39" t="inlineStr">
        <x:is>
          <x:t xml:space="preserve">200 OK</x:t>
        </x:is>
      </x:c>
      <x:c r="G28" s="109" t="n">
        <x:v>46218.92674768518</x:v>
      </x:c>
      <x:c r="H28" s="41" t="str">
        <x:f>IFERROR(HYPERLINK("#'API-023'!A1","상세 보기 →"),"상세 보기 →")</x:f>
        <x:v>상세 보기 →</x:v>
      </x:c>
    </x:row>
    <x:row r="29" ht="19.5" customHeight="1">
      <x:c r="A29" s="38" t="str">
        <x:f>IFERROR(HYPERLINK("#'API-024'!A1","API-024"),"API-024")</x:f>
        <x:v>API-024</x:v>
      </x:c>
      <x:c r="B29" s="39" t="str">
        <x:v>POST</x:v>
      </x:c>
      <x:c r="C29" s="47" t="str">
        <x:v>/cover-letters/{coverLetterId}/review-versions</x:v>
      </x:c>
      <x:c r="D29" s="47" t="str">
        <x:v>AI 첨삭 다시받기</x:v>
      </x:c>
      <x:c r="E29" s="39" t="str">
        <x:v>부분 구현</x:v>
      </x:c>
      <x:c r="F29" s="39" t="str">
        <x:v>200 OK</x:v>
      </x:c>
      <x:c r="G29" s="109" t="str">
        <x:v>2026-07-16 02:52:37</x:v>
      </x:c>
      <x:c r="H29" s="41" t="str">
        <x:f>IFERROR(HYPERLINK("#'API-024'!A1","상세 보기 →"),"상세 보기 →")</x:f>
        <x:v>상세 보기 →</x:v>
      </x:c>
    </x:row>
    <x:row r="30">
      <x:c r="A30" s="38" t="str">
        <x:f>IFERROR(HYPERLINK("#'API-025'!A1","API-025"),"API-025")</x:f>
        <x:v>API-025</x:v>
      </x:c>
      <x:c r="B30" s="39" t="inlineStr">
        <x:is>
          <x:t xml:space="preserve">GET</x:t>
        </x:is>
      </x:c>
      <x:c r="C30" s="47" t="inlineStr">
        <x:is>
          <x:t xml:space="preserve">/cover-letters/{coverLetterId}/interview</x:t>
        </x:is>
      </x:c>
      <x:c r="D30" s="47" t="inlineStr">
        <x:is>
          <x:t xml:space="preserve">현재 면접 세션 조회</x:t>
        </x:is>
      </x:c>
      <x:c r="E30" s="39" t="inlineStr">
        <x:is>
          <x:t xml:space="preserve">사용 가능</x:t>
        </x:is>
      </x:c>
      <x:c r="F30" s="39" t="inlineStr">
        <x:is>
          <x:t xml:space="preserve">200 OK</x:t>
        </x:is>
      </x:c>
      <x:c r="G30" s="109" t="n">
        <x:v>46218.92674768518</x:v>
      </x:c>
      <x:c r="H30" s="41" t="str">
        <x:f>IFERROR(HYPERLINK("#'API-025'!A1","상세 보기 →"),"상세 보기 →")</x:f>
        <x:v>상세 보기 →</x:v>
      </x:c>
    </x:row>
    <x:row r="31">
      <x:c r="A31" s="38" t="str">
        <x:f>IFERROR(HYPERLINK("#'API-026'!A1","API-026"),"API-026")</x:f>
        <x:v>API-026</x:v>
      </x:c>
      <x:c r="B31" s="39" t="inlineStr">
        <x:is>
          <x:t xml:space="preserve">GET</x:t>
        </x:is>
      </x:c>
      <x:c r="C31" s="47" t="inlineStr">
        <x:is>
          <x:t xml:space="preserve">/interviews/{interviewSessionId}/questions</x:t>
        </x:is>
      </x:c>
      <x:c r="D31" s="47" t="inlineStr">
        <x:is>
          <x:t xml:space="preserve">유형 구분 없는 자기소개서 기반 면접 질문 목록</x:t>
        </x:is>
      </x:c>
      <x:c r="E31" s="39" t="inlineStr">
        <x:is>
          <x:t xml:space="preserve">사용 가능</x:t>
        </x:is>
      </x:c>
      <x:c r="F31" s="39" t="inlineStr">
        <x:is>
          <x:t xml:space="preserve">200 OK</x:t>
        </x:is>
      </x:c>
      <x:c r="G31" s="109" t="n">
        <x:v>46218.92674768518</x:v>
      </x:c>
      <x:c r="H31" s="41" t="str">
        <x:f>IFERROR(HYPERLINK("#'API-026'!A1","상세 보기 →"),"상세 보기 →")</x:f>
        <x:v>상세 보기 →</x:v>
      </x:c>
    </x:row>
    <x:row r="32">
      <x:c r="A32" s="38" t="str">
        <x:f>IFERROR(HYPERLINK("#'API-027'!A1","API-027"),"API-027")</x:f>
        <x:v>API-027</x:v>
      </x:c>
      <x:c r="B32" s="39" t="inlineStr">
        <x:is>
          <x:t xml:space="preserve">POST</x:t>
        </x:is>
      </x:c>
      <x:c r="C32" s="47" t="inlineStr">
        <x:is>
          <x:t xml:space="preserve">/interviews/{interviewSessionId}/questions</x:t>
        </x:is>
      </x:c>
      <x:c r="D32" s="47" t="inlineStr">
        <x:is>
          <x:t xml:space="preserve">최신 첨삭 버전 기준 자기소개서 기반 면접 질문과 thread 1개 추가 생성</x:t>
        </x:is>
      </x:c>
      <x:c r="E32" s="39" t="inlineStr">
        <x:is>
          <x:t xml:space="preserve">사용 가능</x:t>
        </x:is>
      </x:c>
      <x:c r="F32" s="39" t="inlineStr">
        <x:is>
          <x:t xml:space="preserve">200 OK</x:t>
        </x:is>
      </x:c>
      <x:c r="G32" s="109" t="n">
        <x:v>46218.92674768518</x:v>
      </x:c>
      <x:c r="H32" s="41" t="str">
        <x:f>IFERROR(HYPERLINK("#'API-027'!A1","상세 보기 →"),"상세 보기 →")</x:f>
        <x:v>상세 보기 →</x:v>
      </x:c>
    </x:row>
    <x:row r="33">
      <x:c r="A33" s="38" t="str">
        <x:f>IFERROR(HYPERLINK("#'API-028'!A1","API-028"),"API-028")</x:f>
        <x:v>API-028</x:v>
      </x:c>
      <x:c r="B33" s="39" t="inlineStr">
        <x:is>
          <x:t xml:space="preserve">POST</x:t>
        </x:is>
      </x:c>
      <x:c r="C33" s="47" t="inlineStr">
        <x:is>
          <x:t xml:space="preserve">/interviews/{interviewSessionId}/threads</x:t>
        </x:is>
      </x:c>
      <x:c r="D33" s="47" t="inlineStr">
        <x:is>
          <x:t xml:space="preserve">질문 생성 시 thread를 함께 저장하므로 사용하지 않음</x:t>
        </x:is>
      </x:c>
      <x:c r="E33" s="39" t="inlineStr">
        <x:is>
          <x:t xml:space="preserve">폐기·호출 금지</x:t>
        </x:is>
      </x:c>
      <x:c r="F33" s="39" t="inlineStr">
        <x:is>
          <x:t xml:space="preserve">200 OK</x:t>
        </x:is>
      </x:c>
      <x:c r="G33" s="109" t="n">
        <x:v>46218.92674768518</x:v>
      </x:c>
      <x:c r="H33" s="41" t="str">
        <x:f>IFERROR(HYPERLINK("#'API-028'!A1","상세 보기 →"),"상세 보기 →")</x:f>
        <x:v>상세 보기 →</x:v>
      </x:c>
    </x:row>
    <x:row r="34">
      <x:c r="A34" s="42" t="str">
        <x:f>IFERROR(HYPERLINK("#'API-029'!A1","API-029"),"API-029")</x:f>
        <x:v>API-029</x:v>
      </x:c>
      <x:c r="B34" s="43" t="inlineStr">
        <x:is>
          <x:t xml:space="preserve">GET</x:t>
        </x:is>
      </x:c>
      <x:c r="C34" s="48" t="inlineStr">
        <x:is>
          <x:t xml:space="preserve">/interview-threads/{threadId}/messages</x:t>
        </x:is>
      </x:c>
      <x:c r="D34" s="48" t="inlineStr">
        <x:is>
          <x:t xml:space="preserve">대화 메시지 조회</x:t>
        </x:is>
      </x:c>
      <x:c r="E34" s="43" t="inlineStr">
        <x:is>
          <x:t xml:space="preserve">사용 가능</x:t>
        </x:is>
      </x:c>
      <x:c r="F34" s="43" t="inlineStr">
        <x:is>
          <x:t xml:space="preserve">200 OK</x:t>
        </x:is>
      </x:c>
      <x:c r="G34" s="110" t="n">
        <x:v>46218.92674768518</x:v>
      </x:c>
      <x:c r="H34" s="45" t="str">
        <x:f>IFERROR(HYPERLINK("#'API-029'!A1","상세 보기 →"),"상세 보기 →")</x:f>
        <x:v>상세 보기 →</x:v>
      </x:c>
    </x:row>
    <x:row r="35" ht="19.5" customHeight="1">
      <x:c r="A35" t="str">
        <x:f>IFERROR(HYPERLINK("#'API-030'!A1","API-030"),"API-030")</x:f>
        <x:v>API-030</x:v>
      </x:c>
      <x:c r="B35" t="str">
        <x:v>GET</x:v>
      </x:c>
      <x:c r="C35" t="str">
        <x:v>/cover-letters/stream</x:v>
      </x:c>
      <x:c r="D35" t="str">
        <x:v>내 자기소개서 첨삭 상태 SSE</x:v>
      </x:c>
      <x:c r="E35" t="str">
        <x:v>미구현·호출 금지</x:v>
      </x:c>
      <x:c r="F35" t="str">
        <x:v>200 OK</x:v>
      </x:c>
      <x:c r="G35" t="str">
        <x:v>2026-07-16 02:52:37</x:v>
      </x:c>
      <x:c r="H35" t="str">
        <x:f>IFERROR(HYPERLINK("#'API-030'!A1","상세 보기 →"),"상세 보기 →")</x:f>
        <x:v>상세 보기 →</x:v>
      </x:c>
    </x:row>
  </x:sheetData>
  <x:mergeCells>
    <x:mergeCell ref="A2:H2"/>
    <x:mergeCell ref="A1:H1"/>
  </x:mergeCells>
  <x:pageMargins left="0.7" right="0.7" top="0.75" bottom="0.75" header="0.3" footer="0.3"/>
  <x:pageSetup paperSize="9" orientation="landscape" fitToWidth="1" fitToHeight="0"/>
  <x:tableParts count="1">
    <x:tablePart xmlns:r="http://schemas.openxmlformats.org/officeDocument/2006/relationships" r:id="R923e7b367c0a49fc"/>
  </x:tableParts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API-001  ·  카카오 로그인 시작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/auth/kakao/authorize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/auth/kakao/authorize</x:t>
        </x:is>
      </x:c>
      <x:c r="E5" s="82" t="inlineStr">
        <x:is>
          <x:t xml:space="preserve">성공 상태</x:t>
        </x:is>
      </x:c>
      <x:c r="F5" s="46" t="inlineStr">
        <x:is>
          <x:t xml:space="preserve">302 Found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카카오 로그인 시작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불필요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브라우저 이동: window.location.assign(path)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/auth/kakao/authorize HTTP/1.1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56" customHeight="1">
      <x:c r="A14" s="115" t="inlineStr">
        <x:is>
          <x:t xml:space="preserve">HTTP/1.1 302 Found
Location: https://kauth.kakao.com/oauth/authorize?... 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102" t="inlineStr">
        <x:is>
          <x:t xml:space="preserve">-</x:t>
        </x:is>
      </x:c>
      <x:c r="B18" s="103" t="inlineStr">
        <x:is>
          <x:t xml:space="preserve">없음</x:t>
        </x:is>
      </x:c>
      <x:c r="C18" s="103" t="inlineStr">
        <x:is>
          <x:t xml:space="preserve">-</x:t>
        </x:is>
      </x:c>
      <x:c r="D18" s="103" t="inlineStr">
        <x:is>
          <x:t xml:space="preserve">-</x:t>
        </x:is>
      </x:c>
      <x:c r="E18" s="104" t="inlineStr">
        <x:is>
          <x:t xml:space="preserve">로그인 시작 요청에 별도 입력 없음</x:t>
        </x:is>
      </x:c>
    </x:row>
    <x:row r="20" ht="24" customHeight="1">
      <x:c r="A20" s="113" t="inlineStr">
        <x:is>
          <x:t xml:space="preserve">응답 필드 설명</x:t>
        </x:is>
      </x:c>
      <x:c r="B20" s="106" t="n"/>
      <x:c r="C20" s="106" t="n"/>
      <x:c r="D20" s="106" t="n"/>
      <x:c r="E20" s="106" t="n"/>
      <x:c r="F20" s="106" t="n"/>
      <x:c r="G20" s="106" t="n"/>
      <x:c r="H20" s="106" t="n"/>
    </x:row>
    <x:row r="21">
      <x:c r="A21" s="9" t="inlineStr">
        <x:is>
          <x:t xml:space="preserve">필드 경로</x:t>
        </x:is>
      </x:c>
      <x:c r="B21" s="10" t="inlineStr">
        <x:is>
          <x:t xml:space="preserve">타입</x:t>
        </x:is>
      </x:c>
      <x:c r="C21" s="10" t="inlineStr">
        <x:is>
          <x:t xml:space="preserve">필수/nullable</x:t>
        </x:is>
      </x:c>
      <x:c r="D21" s="11" t="inlineStr">
        <x:is>
          <x:t xml:space="preserve">필드 의미</x:t>
        </x:is>
      </x:c>
    </x:row>
    <x:row r="22">
      <x:c r="A22" s="102" t="inlineStr">
        <x:is>
          <x:t xml:space="preserve">Location</x:t>
        </x:is>
      </x:c>
      <x:c r="B22" s="103" t="inlineStr">
        <x:is>
          <x:t xml:space="preserve">header</x:t>
        </x:is>
      </x:c>
      <x:c r="C22" s="103" t="inlineStr">
        <x:is>
          <x:t xml:space="preserve">필수</x:t>
        </x:is>
      </x:c>
      <x:c r="D22" s="104" t="inlineStr">
        <x:is>
          <x:t xml:space="preserve">카카오 OAuth 인증 페이지 URL</x:t>
        </x:is>
      </x:c>
    </x:row>
    <x:row r="24" ht="24" customHeight="1">
      <x:c r="A24" s="113" t="inlineStr">
        <x:is>
          <x:t xml:space="preserve">오류 응답</x:t>
        </x:is>
      </x:c>
      <x:c r="B24" s="106" t="n"/>
      <x:c r="C24" s="106" t="n"/>
      <x:c r="D24" s="106" t="n"/>
      <x:c r="E24" s="106" t="n"/>
      <x:c r="F24" s="106" t="n"/>
      <x:c r="G24" s="106" t="n"/>
      <x:c r="H24" s="106" t="n"/>
    </x:row>
    <x:row r="25">
      <x:c r="A25" s="9" t="inlineStr">
        <x:is>
          <x:t xml:space="preserve">HTTP 상태</x:t>
        </x:is>
      </x:c>
      <x:c r="B25" s="10" t="inlineStr">
        <x:is>
          <x:t xml:space="preserve">오류 코드</x:t>
        </x:is>
      </x:c>
      <x:c r="C25" s="10" t="inlineStr">
        <x:is>
          <x:t xml:space="preserve">발생 조건</x:t>
        </x:is>
      </x:c>
      <x:c r="D25" s="10" t="inlineStr">
        <x:is>
          <x:t xml:space="preserve">프론트 처리</x:t>
        </x:is>
      </x:c>
      <x:c r="E25" s="11" t="inlineStr">
        <x:is>
          <x:t xml:space="preserve">현재 상태</x:t>
        </x:is>
      </x:c>
    </x:row>
    <x:row r="26">
      <x:c r="A26" s="102" t="inlineStr">
        <x:is>
          <x:t xml:space="preserve">500 Internal Server Error</x:t>
        </x:is>
      </x:c>
      <x:c r="B26" s="103" t="inlineStr">
        <x:is>
          <x:t xml:space="preserve">INTERNAL_ERROR</x:t>
        </x:is>
      </x:c>
      <x:c r="C26" s="103" t="inlineStr">
        <x:is>
          <x:t xml:space="preserve">예상하지 못한 서버 오류</x:t>
        </x:is>
      </x:c>
      <x:c r="D26" s="103" t="inlineStr">
        <x:is>
          <x:t xml:space="preserve">재시도 안내 후 지속 시 오류 정보 전달</x:t>
        </x:is>
      </x:c>
      <x:c r="E26" s="104" t="inlineStr">
        <x:is>
          <x:t xml:space="preserve">현재 구현</x:t>
        </x:is>
      </x:c>
    </x:row>
  </x:sheetData>
  <x:mergeCells>
    <x:mergeCell ref="A4:H4"/>
    <x:mergeCell ref="A20:H20"/>
    <x:mergeCell ref="A24:H24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dc4232a9b97d42ce"/>
    <x:tablePart xmlns:r="http://schemas.openxmlformats.org/officeDocument/2006/relationships" r:id="R4302e5da1e7442e3"/>
    <x:tablePart xmlns:r="http://schemas.openxmlformats.org/officeDocument/2006/relationships" r:id="Rd52c549612b547cd"/>
  </x:tableParts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API-002  ·  카카오 OAuth callback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/auth/kakao/callback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/auth/kakao/callback</x:t>
        </x:is>
      </x:c>
      <x:c r="E5" s="82" t="inlineStr">
        <x:is>
          <x:t xml:space="preserve">성공 상태</x:t>
        </x:is>
      </x:c>
      <x:c r="F5" s="46" t="inlineStr">
        <x:is>
          <x:t xml:space="preserve">302 Found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카카오 OAuth callback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불필요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프론트 직접 호출 없음: 카카오 redirect target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/auth/kakao/callback?code=&lt;authorizationCode&gt;&amp;state=&lt;state&gt; HTTP/1.1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70" customHeight="1">
      <x:c r="A14" s="115" t="inlineStr">
        <x:is>
          <x:t xml:space="preserve">HTTP/1.1 302 Found
Set-Cookie: access_token=&lt;token&gt;; HttpOnly; Secure; SameSite=Lax
Set-Cookie: refresh_token=&lt;token&gt;; HttpOnly; Secure; SameSite=Lax
Location: https://rewrite.example.com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query</x:t>
        </x:is>
      </x:c>
      <x:c r="B18" s="46" t="inlineStr">
        <x:is>
          <x:t xml:space="preserve">code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카카오가 전달한 authorization code</x:t>
        </x:is>
      </x:c>
    </x:row>
    <x:row r="19">
      <x:c r="A19" s="71" t="inlineStr">
        <x:is>
          <x:t xml:space="preserve">query</x:t>
        </x:is>
      </x:c>
      <x:c r="B19" s="48" t="inlineStr">
        <x:is>
          <x:t xml:space="preserve">state</x:t>
        </x:is>
      </x:c>
      <x:c r="C19" s="48" t="inlineStr">
        <x:is>
          <x:t xml:space="preserve">string</x:t>
        </x:is>
      </x:c>
      <x:c r="D19" s="48" t="inlineStr">
        <x:is>
          <x:t xml:space="preserve">필수</x:t>
        </x:is>
      </x:c>
      <x:c r="E19" s="72" t="inlineStr">
        <x:is>
          <x:t xml:space="preserve">OAuth 요청 위조 방지 상태값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67" t="inlineStr">
        <x:is>
          <x:t xml:space="preserve">Set-Cookie</x:t>
        </x:is>
      </x:c>
      <x:c r="B23" s="46" t="inlineStr">
        <x:is>
          <x:t xml:space="preserve">header</x:t>
        </x:is>
      </x:c>
      <x:c r="C23" s="46" t="inlineStr">
        <x:is>
          <x:t xml:space="preserve">필수</x:t>
        </x:is>
      </x:c>
      <x:c r="D23" s="68" t="inlineStr">
        <x:is>
          <x:t xml:space="preserve">access/refresh token cookie</x:t>
        </x:is>
      </x:c>
    </x:row>
    <x:row r="24">
      <x:c r="A24" s="71" t="inlineStr">
        <x:is>
          <x:t xml:space="preserve">Location</x:t>
        </x:is>
      </x:c>
      <x:c r="B24" s="48" t="inlineStr">
        <x:is>
          <x:t xml:space="preserve">header</x:t>
        </x:is>
      </x:c>
      <x:c r="C24" s="48" t="inlineStr">
        <x:is>
          <x:t xml:space="preserve">필수</x:t>
        </x:is>
      </x:c>
      <x:c r="D24" s="72" t="inlineStr">
        <x:is>
          <x:t xml:space="preserve">로그인 완료 후 이동 URL</x:t>
        </x:is>
      </x:c>
    </x:row>
    <x:row r="26" ht="24" customHeight="1">
      <x:c r="A26" s="113" t="inlineStr">
        <x:is>
          <x:t xml:space="preserve">오류 응답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HTTP 상태</x:t>
        </x:is>
      </x:c>
      <x:c r="B27" s="10" t="inlineStr">
        <x:is>
          <x:t xml:space="preserve">오류 코드</x:t>
        </x:is>
      </x:c>
      <x:c r="C27" s="10" t="inlineStr">
        <x:is>
          <x:t xml:space="preserve">발생 조건</x:t>
        </x:is>
      </x:c>
      <x:c r="D27" s="10" t="inlineStr">
        <x:is>
          <x:t xml:space="preserve">프론트 처리</x:t>
        </x:is>
      </x:c>
      <x:c r="E27" s="11" t="inlineStr">
        <x:is>
          <x:t xml:space="preserve">현재 상태</x:t>
        </x:is>
      </x:c>
    </x:row>
    <x:row r="28">
      <x:c r="A28" s="67" t="inlineStr">
        <x:is>
          <x:t xml:space="preserve">400 Bad Request</x:t>
        </x:is>
      </x:c>
      <x:c r="B28" s="46" t="inlineStr">
        <x:is>
          <x:t xml:space="preserve">VALIDATION_ERROR</x:t>
        </x:is>
      </x:c>
      <x:c r="C28" s="46" t="inlineStr">
        <x:is>
          <x:t xml:space="preserve">요청 값이 제약 조건을 위반함</x:t>
        </x:is>
      </x:c>
      <x:c r="D28" s="46" t="inlineStr">
        <x:is>
          <x:t xml:space="preserve">error.details의 field/reason을 입력 항목에 표시</x:t>
        </x:is>
      </x:c>
      <x:c r="E28" s="68" t="inlineStr">
        <x:is>
          <x:t xml:space="preserve">현재 구현</x:t>
        </x:is>
      </x:c>
    </x:row>
    <x:row r="29">
      <x:c r="A29" s="71" t="inlineStr">
        <x:is>
          <x:t xml:space="preserve">500 Internal Server Error</x:t>
        </x:is>
      </x:c>
      <x:c r="B29" s="48" t="inlineStr">
        <x:is>
          <x:t xml:space="preserve">INTERNAL_ERROR</x:t>
        </x:is>
      </x:c>
      <x:c r="C29" s="48" t="inlineStr">
        <x:is>
          <x:t xml:space="preserve">예상하지 못한 서버 오류</x:t>
        </x:is>
      </x:c>
      <x:c r="D29" s="48" t="inlineStr">
        <x:is>
          <x:t xml:space="preserve">재시도 안내 후 지속 시 오류 정보 전달</x:t>
        </x:is>
      </x:c>
      <x:c r="E29" s="72" t="inlineStr">
        <x:is>
          <x:t xml:space="preserve">현재 구현</x:t>
        </x:is>
      </x:c>
    </x:row>
  </x:sheetData>
  <x:mergeCells>
    <x:mergeCell ref="A4:H4"/>
    <x:mergeCell ref="A26:H26"/>
    <x:mergeCell ref="A21:H21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869ad99e684b475a"/>
    <x:tablePart xmlns:r="http://schemas.openxmlformats.org/officeDocument/2006/relationships" r:id="R0e3a7d98b73344d9"/>
    <x:tablePart xmlns:r="http://schemas.openxmlformats.org/officeDocument/2006/relationships" r:id="R39e804512f274c8d"/>
  </x:tableParts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API-003  ·  상태 변경 요청용 CSRF 토큰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/auth/csrf-token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/auth/csrf-token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상태 변경 요청용 CSRF 토큰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/auth/csrf-token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98" customHeight="1">
      <x:c r="A14" s="115" t="inlineStr">
        <x:is>
          <x:t xml:space="preserve">HTTP/1.1 200 OK
Content-Type: application/json
{
  "csrfToken": "csrf-token-value"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102" t="inlineStr">
        <x:is>
          <x:t xml:space="preserve">cookie</x:t>
        </x:is>
      </x:c>
      <x:c r="B18" s="103" t="inlineStr">
        <x:is>
          <x:t xml:space="preserve">access_token</x:t>
        </x:is>
      </x:c>
      <x:c r="C18" s="103" t="inlineStr">
        <x:is>
          <x:t xml:space="preserve">string</x:t>
        </x:is>
      </x:c>
      <x:c r="D18" s="103" t="inlineStr">
        <x:is>
          <x:t xml:space="preserve">계약상 필수 (현재 미검증)</x:t>
        </x:is>
      </x:c>
      <x:c r="E18" s="104" t="inlineStr">
        <x:is>
          <x:t xml:space="preserve">현재 사용자 인증 cookie</x:t>
        </x:is>
      </x:c>
    </x:row>
    <x:row r="20" ht="24" customHeight="1">
      <x:c r="A20" s="113" t="inlineStr">
        <x:is>
          <x:t xml:space="preserve">응답 필드 설명</x:t>
        </x:is>
      </x:c>
      <x:c r="B20" s="106" t="n"/>
      <x:c r="C20" s="106" t="n"/>
      <x:c r="D20" s="106" t="n"/>
      <x:c r="E20" s="106" t="n"/>
      <x:c r="F20" s="106" t="n"/>
      <x:c r="G20" s="106" t="n"/>
      <x:c r="H20" s="106" t="n"/>
    </x:row>
    <x:row r="21">
      <x:c r="A21" s="9" t="inlineStr">
        <x:is>
          <x:t xml:space="preserve">필드 경로</x:t>
        </x:is>
      </x:c>
      <x:c r="B21" s="10" t="inlineStr">
        <x:is>
          <x:t xml:space="preserve">타입</x:t>
        </x:is>
      </x:c>
      <x:c r="C21" s="10" t="inlineStr">
        <x:is>
          <x:t xml:space="preserve">필수/nullable</x:t>
        </x:is>
      </x:c>
      <x:c r="D21" s="11" t="inlineStr">
        <x:is>
          <x:t xml:space="preserve">필드 의미</x:t>
        </x:is>
      </x:c>
    </x:row>
    <x:row r="22">
      <x:c r="A22" s="102" t="inlineStr">
        <x:is>
          <x:t xml:space="preserve">csrfToken</x:t>
        </x:is>
      </x:c>
      <x:c r="B22" s="103" t="inlineStr">
        <x:is>
          <x:t xml:space="preserve">string</x:t>
        </x:is>
      </x:c>
      <x:c r="C22" s="103" t="inlineStr">
        <x:is>
          <x:t xml:space="preserve">필수</x:t>
        </x:is>
      </x:c>
      <x:c r="D22" s="104" t="inlineStr">
        <x:is>
          <x:t xml:space="preserve">상태 변경 요청에 사용할 CSRF 토큰</x:t>
        </x:is>
      </x:c>
    </x:row>
    <x:row r="24" ht="24" customHeight="1">
      <x:c r="A24" s="113" t="inlineStr">
        <x:is>
          <x:t xml:space="preserve">오류 응답</x:t>
        </x:is>
      </x:c>
      <x:c r="B24" s="106" t="n"/>
      <x:c r="C24" s="106" t="n"/>
      <x:c r="D24" s="106" t="n"/>
      <x:c r="E24" s="106" t="n"/>
      <x:c r="F24" s="106" t="n"/>
      <x:c r="G24" s="106" t="n"/>
      <x:c r="H24" s="106" t="n"/>
    </x:row>
    <x:row r="25">
      <x:c r="A25" s="9" t="inlineStr">
        <x:is>
          <x:t xml:space="preserve">HTTP 상태</x:t>
        </x:is>
      </x:c>
      <x:c r="B25" s="10" t="inlineStr">
        <x:is>
          <x:t xml:space="preserve">오류 코드</x:t>
        </x:is>
      </x:c>
      <x:c r="C25" s="10" t="inlineStr">
        <x:is>
          <x:t xml:space="preserve">발생 조건</x:t>
        </x:is>
      </x:c>
      <x:c r="D25" s="10" t="inlineStr">
        <x:is>
          <x:t xml:space="preserve">프론트 처리</x:t>
        </x:is>
      </x:c>
      <x:c r="E25" s="11" t="inlineStr">
        <x:is>
          <x:t xml:space="preserve">현재 상태</x:t>
        </x:is>
      </x:c>
    </x:row>
    <x:row r="26">
      <x:c r="A26" s="67" t="inlineStr">
        <x:is>
          <x:t xml:space="preserve">401 Unauthorized</x:t>
        </x:is>
      </x:c>
      <x:c r="B26" s="46" t="inlineStr">
        <x:is>
          <x:t xml:space="preserve">UNAUTHORIZED</x:t>
        </x:is>
      </x:c>
      <x:c r="C26" s="46" t="inlineStr">
        <x:is>
          <x:t xml:space="preserve">인증 쿠키가 없거나 유효하지 않음</x:t>
        </x:is>
      </x:c>
      <x:c r="D26" s="46" t="inlineStr">
        <x:is>
          <x:t xml:space="preserve">로그인 화면으로 이동</x:t>
        </x:is>
      </x:c>
      <x:c r="E26" s="68" t="inlineStr">
        <x:is>
          <x:t xml:space="preserve">계약 정의·인증 미구현</x:t>
        </x:is>
      </x:c>
    </x:row>
    <x:row r="27">
      <x:c r="A27" s="71" t="inlineStr">
        <x:is>
          <x:t xml:space="preserve">500 Internal Server Error</x:t>
        </x:is>
      </x:c>
      <x:c r="B27" s="48" t="inlineStr">
        <x:is>
          <x:t xml:space="preserve">INTERNAL_ERROR</x:t>
        </x:is>
      </x:c>
      <x:c r="C27" s="48" t="inlineStr">
        <x:is>
          <x:t xml:space="preserve">예상하지 못한 서버 오류</x:t>
        </x:is>
      </x:c>
      <x:c r="D27" s="48" t="inlineStr">
        <x:is>
          <x:t xml:space="preserve">재시도 안내 후 지속 시 오류 정보 전달</x:t>
        </x:is>
      </x:c>
      <x:c r="E27" s="72" t="inlineStr">
        <x:is>
          <x:t xml:space="preserve">현재 구현</x:t>
        </x:is>
      </x:c>
    </x:row>
  </x:sheetData>
  <x:mergeCells>
    <x:mergeCell ref="A4:H4"/>
    <x:mergeCell ref="A20:H20"/>
    <x:mergeCell ref="A24:H24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76f03cce929f4257"/>
    <x:tablePart xmlns:r="http://schemas.openxmlformats.org/officeDocument/2006/relationships" r:id="Ra25cb241d3aa4a7c"/>
    <x:tablePart xmlns:r="http://schemas.openxmlformats.org/officeDocument/2006/relationships" r:id="Rf8b4b1d715c74a60"/>
  </x:tableParts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API-004  ·  refresh token rotation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/auth/refresh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/auth/refresh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refresh token rotation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refresh_token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12" customHeight="1">
      <x:c r="A11" s="115" t="inlineStr">
        <x:is>
          <x:t xml:space="preserve">POST /auth/refresh HTTP/1.1
Accept: application/json
Cookie: refresh_token=&lt;refresh_token&gt;
X-CSRF-Token: &lt;csrf-token&gt;
Content-Type: application/json
{}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26" customHeight="1">
      <x:c r="A14" s="115" t="inlineStr">
        <x:is>
          <x:t xml:space="preserve">HTTP/1.1 200 OK
Content-Type: application/json
Set-Cookie: access_token=&lt;new-token&gt;; HttpOnly; Secure
Set-Cookie: refresh_token=&lt;new-token&gt;; HttpOnly; Secure
{
  "success": true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header</x:t>
        </x:is>
      </x:c>
      <x:c r="B18" s="46" t="inlineStr">
        <x:is>
          <x:t xml:space="preserve">X-CSRF-Token</x:t>
        </x:is>
      </x:c>
      <x:c r="C18" s="46" t="inlineStr">
        <x:is>
          <x:t xml:space="preserve">string</x:t>
        </x:is>
      </x:c>
      <x:c r="D18" s="46" t="inlineStr">
        <x:is>
          <x:t xml:space="preserve">계약상 필수 (현재 미검증)</x:t>
        </x:is>
      </x:c>
      <x:c r="E18" s="68" t="inlineStr">
        <x:is>
          <x:t xml:space="preserve">상태 변경 요청용 CSRF 토큰</x:t>
        </x:is>
      </x:c>
    </x:row>
    <x:row r="19">
      <x:c r="A19" s="71" t="inlineStr">
        <x:is>
          <x:t xml:space="preserve">cookie</x:t>
        </x:is>
      </x:c>
      <x:c r="B19" s="48" t="inlineStr">
        <x:is>
          <x:t xml:space="preserve">refresh_token</x:t>
        </x:is>
      </x:c>
      <x:c r="C19" s="48" t="inlineStr">
        <x:is>
          <x:t xml:space="preserve">string</x:t>
        </x:is>
      </x:c>
      <x:c r="D19" s="48" t="inlineStr">
        <x:is>
          <x:t xml:space="preserve">계약상 필수 (현재 미검증)</x:t>
        </x:is>
      </x:c>
      <x:c r="E19" s="72" t="inlineStr">
        <x:is>
          <x:t xml:space="preserve">회전 대상 refresh token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102" t="inlineStr">
        <x:is>
          <x:t xml:space="preserve">success</x:t>
        </x:is>
      </x:c>
      <x:c r="B23" s="103" t="inlineStr">
        <x:is>
          <x:t xml:space="preserve">boolean</x:t>
        </x:is>
      </x:c>
      <x:c r="C23" s="103" t="inlineStr">
        <x:is>
          <x:t xml:space="preserve">필수</x:t>
        </x:is>
      </x:c>
      <x:c r="D23" s="104" t="inlineStr">
        <x:is>
          <x:t xml:space="preserve">처리 성공 여부</x:t>
        </x:is>
      </x:c>
    </x:row>
    <x:row r="25" ht="24" customHeight="1">
      <x:c r="A25" s="113" t="inlineStr">
        <x:is>
          <x:t xml:space="preserve">오류 응답</x:t>
        </x:is>
      </x:c>
      <x:c r="B25" s="106" t="n"/>
      <x:c r="C25" s="106" t="n"/>
      <x:c r="D25" s="106" t="n"/>
      <x:c r="E25" s="106" t="n"/>
      <x:c r="F25" s="106" t="n"/>
      <x:c r="G25" s="106" t="n"/>
      <x:c r="H25" s="106" t="n"/>
    </x:row>
    <x:row r="26">
      <x:c r="A26" s="9" t="inlineStr">
        <x:is>
          <x:t xml:space="preserve">HTTP 상태</x:t>
        </x:is>
      </x:c>
      <x:c r="B26" s="10" t="inlineStr">
        <x:is>
          <x:t xml:space="preserve">오류 코드</x:t>
        </x:is>
      </x:c>
      <x:c r="C26" s="10" t="inlineStr">
        <x:is>
          <x:t xml:space="preserve">발생 조건</x:t>
        </x:is>
      </x:c>
      <x:c r="D26" s="10" t="inlineStr">
        <x:is>
          <x:t xml:space="preserve">프론트 처리</x:t>
        </x:is>
      </x:c>
      <x:c r="E26" s="11" t="inlineStr">
        <x:is>
          <x:t xml:space="preserve">현재 상태</x:t>
        </x:is>
      </x:c>
    </x:row>
    <x:row r="27">
      <x:c r="A27" s="67" t="inlineStr">
        <x:is>
          <x:t xml:space="preserve">401 Unauthorized</x:t>
        </x:is>
      </x:c>
      <x:c r="B27" s="46" t="inlineStr">
        <x:is>
          <x:t xml:space="preserve">UNAUTHORIZED</x:t>
        </x:is>
      </x:c>
      <x:c r="C27" s="46" t="inlineStr">
        <x:is>
          <x:t xml:space="preserve">유효하지 않은 refresh token입니다.</x:t>
        </x:is>
      </x:c>
      <x:c r="D27" s="46" t="inlineStr">
        <x:is>
          <x:t xml:space="preserve">로그인 화면으로 이동</x:t>
        </x:is>
      </x:c>
      <x:c r="E27" s="68" t="inlineStr">
        <x:is>
          <x:t xml:space="preserve">계약 정의·인증 미구현</x:t>
        </x:is>
      </x:c>
    </x:row>
    <x:row r="28">
      <x:c r="A28" s="69" t="inlineStr">
        <x:is>
          <x:t xml:space="preserve">403 Forbidden</x:t>
        </x:is>
      </x:c>
      <x:c r="B28" s="47" t="inlineStr">
        <x:is>
          <x:t xml:space="preserve">CSRF_INVALID</x:t>
        </x:is>
      </x:c>
      <x:c r="C28" s="47" t="inlineStr">
        <x:is>
          <x:t xml:space="preserve">CSRF 토큰이 없거나 일치하지 않음</x:t>
        </x:is>
      </x:c>
      <x:c r="D28" s="47" t="inlineStr">
        <x:is>
          <x:t xml:space="preserve">토큰 갱신 후 1회 재시도</x:t>
        </x:is>
      </x:c>
      <x:c r="E28" s="70" t="inlineStr">
        <x:is>
          <x:t xml:space="preserve">계약 정의·CSRF 미구현</x:t>
        </x:is>
      </x:c>
    </x:row>
    <x:row r="29">
      <x:c r="A29" s="71" t="inlineStr">
        <x:is>
          <x:t xml:space="preserve">500 Internal Server Error</x:t>
        </x:is>
      </x:c>
      <x:c r="B29" s="48" t="inlineStr">
        <x:is>
          <x:t xml:space="preserve">INTERNAL_ERROR</x:t>
        </x:is>
      </x:c>
      <x:c r="C29" s="48" t="inlineStr">
        <x:is>
          <x:t xml:space="preserve">예상하지 못한 서버 오류</x:t>
        </x:is>
      </x:c>
      <x:c r="D29" s="48" t="inlineStr">
        <x:is>
          <x:t xml:space="preserve">재시도 안내 후 지속 시 오류 정보 전달</x:t>
        </x:is>
      </x:c>
      <x:c r="E29" s="72" t="inlineStr">
        <x:is>
          <x:t xml:space="preserve">현재 구현</x:t>
        </x:is>
      </x:c>
    </x:row>
  </x:sheetData>
  <x:mergeCells>
    <x:mergeCell ref="A4:H4"/>
    <x:mergeCell ref="A21:H21"/>
    <x:mergeCell ref="A25:H25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05e0c1f9516e46ac"/>
    <x:tablePart xmlns:r="http://schemas.openxmlformats.org/officeDocument/2006/relationships" r:id="R7530d31d71264321"/>
    <x:tablePart xmlns:r="http://schemas.openxmlformats.org/officeDocument/2006/relationships" r:id="Rda8cff9ee5d54802"/>
  </x:tableParts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API-005  ·  내 정보 조회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/user/me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/user/me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내 정보 조회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/user/me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54" customHeight="1">
      <x:c r="A14" s="115" t="inlineStr">
        <x:is>
          <x:t xml:space="preserve">HTTP/1.1 200 OK
Content-Type: application/json
{
  "id": "user_01HZ...",
  "nickname": "홍길동",
  "profileImageUrl": "https://...",
  "provider": "KAKAO",
  "createdAt": "2026-06-20T14:00:00"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102" t="inlineStr">
        <x:is>
          <x:t xml:space="preserve">cookie</x:t>
        </x:is>
      </x:c>
      <x:c r="B18" s="103" t="inlineStr">
        <x:is>
          <x:t xml:space="preserve">access_token</x:t>
        </x:is>
      </x:c>
      <x:c r="C18" s="103" t="inlineStr">
        <x:is>
          <x:t xml:space="preserve">string</x:t>
        </x:is>
      </x:c>
      <x:c r="D18" s="103" t="inlineStr">
        <x:is>
          <x:t xml:space="preserve">계약상 필수 (현재 미검증)</x:t>
        </x:is>
      </x:c>
      <x:c r="E18" s="104" t="inlineStr">
        <x:is>
          <x:t xml:space="preserve">현재 사용자 인증 cookie</x:t>
        </x:is>
      </x:c>
    </x:row>
    <x:row r="20" ht="24" customHeight="1">
      <x:c r="A20" s="113" t="inlineStr">
        <x:is>
          <x:t xml:space="preserve">응답 필드 설명</x:t>
        </x:is>
      </x:c>
      <x:c r="B20" s="106" t="n"/>
      <x:c r="C20" s="106" t="n"/>
      <x:c r="D20" s="106" t="n"/>
      <x:c r="E20" s="106" t="n"/>
      <x:c r="F20" s="106" t="n"/>
      <x:c r="G20" s="106" t="n"/>
      <x:c r="H20" s="106" t="n"/>
    </x:row>
    <x:row r="21">
      <x:c r="A21" s="9" t="inlineStr">
        <x:is>
          <x:t xml:space="preserve">필드 경로</x:t>
        </x:is>
      </x:c>
      <x:c r="B21" s="10" t="inlineStr">
        <x:is>
          <x:t xml:space="preserve">타입</x:t>
        </x:is>
      </x:c>
      <x:c r="C21" s="10" t="inlineStr">
        <x:is>
          <x:t xml:space="preserve">필수/nullable</x:t>
        </x:is>
      </x:c>
      <x:c r="D21" s="11" t="inlineStr">
        <x:is>
          <x:t xml:space="preserve">필드 의미</x:t>
        </x:is>
      </x:c>
    </x:row>
    <x:row r="22">
      <x:c r="A22" s="67" t="inlineStr">
        <x:is>
          <x:t xml:space="preserve">id</x:t>
        </x:is>
      </x:c>
      <x:c r="B22" s="46" t="inlineStr">
        <x:is>
          <x:t xml:space="preserve">string</x:t>
        </x:is>
      </x:c>
      <x:c r="C22" s="46" t="inlineStr">
        <x:is>
          <x:t xml:space="preserve">필수</x:t>
        </x:is>
      </x:c>
      <x:c r="D22" s="68" t="inlineStr">
        <x:is>
          <x:t xml:space="preserve">리소스 고유 ID</x:t>
        </x:is>
      </x:c>
    </x:row>
    <x:row r="23">
      <x:c r="A23" s="69" t="inlineStr">
        <x:is>
          <x:t xml:space="preserve">nickname</x:t>
        </x:is>
      </x:c>
      <x:c r="B23" s="47" t="inlineStr">
        <x:is>
          <x:t xml:space="preserve">string</x:t>
        </x:is>
      </x:c>
      <x:c r="C23" s="47" t="inlineStr">
        <x:is>
          <x:t xml:space="preserve">필수</x:t>
        </x:is>
      </x:c>
      <x:c r="D23" s="70" t="inlineStr">
        <x:is>
          <x:t xml:space="preserve">사용자 닉네임</x:t>
        </x:is>
      </x:c>
    </x:row>
    <x:row r="24">
      <x:c r="A24" s="69" t="inlineStr">
        <x:is>
          <x:t xml:space="preserve">profileImageUrl</x:t>
        </x:is>
      </x:c>
      <x:c r="B24" s="47" t="inlineStr">
        <x:is>
          <x:t xml:space="preserve">string</x:t>
        </x:is>
      </x:c>
      <x:c r="C24" s="47" t="inlineStr">
        <x:is>
          <x:t xml:space="preserve">필수</x:t>
        </x:is>
      </x:c>
      <x:c r="D24" s="70" t="inlineStr">
        <x:is>
          <x:t xml:space="preserve">프로필 이미지 URL</x:t>
        </x:is>
      </x:c>
    </x:row>
    <x:row r="25">
      <x:c r="A25" s="69" t="inlineStr">
        <x:is>
          <x:t xml:space="preserve">provider</x:t>
        </x:is>
      </x:c>
      <x:c r="B25" s="47" t="inlineStr">
        <x:is>
          <x:t xml:space="preserve">string</x:t>
        </x:is>
      </x:c>
      <x:c r="C25" s="47" t="inlineStr">
        <x:is>
          <x:t xml:space="preserve">필수</x:t>
        </x:is>
      </x:c>
      <x:c r="D25" s="70" t="inlineStr">
        <x:is>
          <x:t xml:space="preserve">로그인 제공자</x:t>
        </x:is>
      </x:c>
    </x:row>
    <x:row r="26">
      <x:c r="A26" s="71" t="inlineStr">
        <x:is>
          <x:t xml:space="preserve">createdAt</x:t>
        </x:is>
      </x:c>
      <x:c r="B26" s="48" t="inlineStr">
        <x:is>
          <x:t xml:space="preserve">string</x:t>
        </x:is>
      </x:c>
      <x:c r="C26" s="48" t="inlineStr">
        <x:is>
          <x:t xml:space="preserve">필수</x:t>
        </x:is>
      </x:c>
      <x:c r="D26" s="72" t="inlineStr">
        <x:is>
          <x:t xml:space="preserve">생성 일시</x:t>
        </x:is>
      </x:c>
    </x:row>
    <x:row r="28" ht="24" customHeight="1">
      <x:c r="A28" s="113" t="inlineStr">
        <x:is>
          <x:t xml:space="preserve">오류 응답</x:t>
        </x:is>
      </x:c>
      <x:c r="B28" s="106" t="n"/>
      <x:c r="C28" s="106" t="n"/>
      <x:c r="D28" s="106" t="n"/>
      <x:c r="E28" s="106" t="n"/>
      <x:c r="F28" s="106" t="n"/>
      <x:c r="G28" s="106" t="n"/>
      <x:c r="H28" s="106" t="n"/>
    </x:row>
    <x:row r="29">
      <x:c r="A29" s="9" t="inlineStr">
        <x:is>
          <x:t xml:space="preserve">HTTP 상태</x:t>
        </x:is>
      </x:c>
      <x:c r="B29" s="10" t="inlineStr">
        <x:is>
          <x:t xml:space="preserve">오류 코드</x:t>
        </x:is>
      </x:c>
      <x:c r="C29" s="10" t="inlineStr">
        <x:is>
          <x:t xml:space="preserve">발생 조건</x:t>
        </x:is>
      </x:c>
      <x:c r="D29" s="10" t="inlineStr">
        <x:is>
          <x:t xml:space="preserve">프론트 처리</x:t>
        </x:is>
      </x:c>
      <x:c r="E29" s="11" t="inlineStr">
        <x:is>
          <x:t xml:space="preserve">현재 상태</x:t>
        </x:is>
      </x:c>
    </x:row>
    <x:row r="30">
      <x:c r="A30" s="67" t="inlineStr">
        <x:is>
          <x:t xml:space="preserve">401 Unauthorized</x:t>
        </x:is>
      </x:c>
      <x:c r="B30" s="46" t="inlineStr">
        <x:is>
          <x:t xml:space="preserve">UNAUTHORIZED</x:t>
        </x:is>
      </x:c>
      <x:c r="C30" s="46" t="inlineStr">
        <x:is>
          <x:t xml:space="preserve">인증 쿠키가 없거나 유효하지 않음</x:t>
        </x:is>
      </x:c>
      <x:c r="D30" s="46" t="inlineStr">
        <x:is>
          <x:t xml:space="preserve">로그인 화면으로 이동</x:t>
        </x:is>
      </x:c>
      <x:c r="E30" s="68" t="inlineStr">
        <x:is>
          <x:t xml:space="preserve">계약 정의·인증 미구현</x:t>
        </x:is>
      </x:c>
    </x:row>
    <x:row r="31">
      <x:c r="A31" s="71" t="inlineStr">
        <x:is>
          <x:t xml:space="preserve">500 Internal Server Error</x:t>
        </x:is>
      </x:c>
      <x:c r="B31" s="48" t="inlineStr">
        <x:is>
          <x:t xml:space="preserve">INTERNAL_ERROR</x:t>
        </x:is>
      </x:c>
      <x:c r="C31" s="48" t="inlineStr">
        <x:is>
          <x:t xml:space="preserve">예상하지 못한 서버 오류</x:t>
        </x:is>
      </x:c>
      <x:c r="D31" s="48" t="inlineStr">
        <x:is>
          <x:t xml:space="preserve">재시도 안내 후 지속 시 오류 정보 전달</x:t>
        </x:is>
      </x:c>
      <x:c r="E31" s="72" t="inlineStr">
        <x:is>
          <x:t xml:space="preserve">현재 구현</x:t>
        </x:is>
      </x:c>
    </x:row>
  </x:sheetData>
  <x:mergeCells>
    <x:mergeCell ref="A4:H4"/>
    <x:mergeCell ref="A20:H20"/>
    <x:mergeCell ref="A16:H16"/>
    <x:mergeCell ref="A10:H10"/>
    <x:mergeCell ref="A28:H28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8d7d96c27b3d4ab3"/>
    <x:tablePart xmlns:r="http://schemas.openxmlformats.org/officeDocument/2006/relationships" r:id="R6272b082da4c43ed"/>
    <x:tablePart xmlns:r="http://schemas.openxmlformats.org/officeDocument/2006/relationships" r:id="R4f2be225dd204ae0"/>
  </x:tableParts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API-006  ·  로그아웃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/auth/logout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/auth/logout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미구현·호출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로그아웃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access_token·refresh_token 쿠키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84" customHeight="1">
      <x:c r="A11" s="115" t="inlineStr">
        <x:is>
          <x:t xml:space="preserve">POST /auth/logout HTTP/1.1
Accept: application/json
Cookie: access_token=&lt;access_token&gt;
Cookie: refresh_token=&lt;refresh_token&gt;
X-CSRF-Token: &lt;csrf-token&gt;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26" customHeight="1">
      <x:c r="A14" s="115" t="inlineStr">
        <x:is>
          <x:t xml:space="preserve">HTTP/1.1 200 OK
Content-Type: application/json
Set-Cookie: access_token=; Max-Age=0
Set-Cookie: refresh_token=; Max-Age=0
{
  "success": true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cookie</x:t>
        </x:is>
      </x:c>
      <x:c r="B18" s="46" t="inlineStr">
        <x:is>
          <x:t xml:space="preserve">access_token</x:t>
        </x:is>
      </x:c>
      <x:c r="C18" s="46" t="inlineStr">
        <x:is>
          <x:t xml:space="preserve">string</x:t>
        </x:is>
      </x:c>
      <x:c r="D18" s="46" t="inlineStr">
        <x:is>
          <x:t xml:space="preserve">계약상 필수 (현재 미검증)</x:t>
        </x:is>
      </x:c>
      <x:c r="E18" s="68" t="inlineStr">
        <x:is>
          <x:t xml:space="preserve">현재 사용자 인증 cookie</x:t>
        </x:is>
      </x:c>
    </x:row>
    <x:row r="19">
      <x:c r="A19" s="69" t="inlineStr">
        <x:is>
          <x:t xml:space="preserve">header</x:t>
        </x:is>
      </x:c>
      <x:c r="B19" s="47" t="inlineStr">
        <x:is>
          <x:t xml:space="preserve">X-CSRF-Token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상태 변경 요청용 CSRF 토큰</x:t>
        </x:is>
      </x:c>
    </x:row>
    <x:row r="20">
      <x:c r="A20" s="71" t="inlineStr">
        <x:is>
          <x:t xml:space="preserve">cookie</x:t>
        </x:is>
      </x:c>
      <x:c r="B20" s="48" t="inlineStr">
        <x:is>
          <x:t xml:space="preserve">refresh_token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있으면 함께 만료 처리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102" t="inlineStr">
        <x:is>
          <x:t xml:space="preserve">success</x:t>
        </x:is>
      </x:c>
      <x:c r="B24" s="103" t="inlineStr">
        <x:is>
          <x:t xml:space="preserve">boolean</x:t>
        </x:is>
      </x:c>
      <x:c r="C24" s="103" t="inlineStr">
        <x:is>
          <x:t xml:space="preserve">필수</x:t>
        </x:is>
      </x:c>
      <x:c r="D24" s="104" t="inlineStr">
        <x:is>
          <x:t xml:space="preserve">처리 성공 여부</x:t>
        </x:is>
      </x:c>
    </x:row>
    <x:row r="26" ht="24" customHeight="1">
      <x:c r="A26" s="113" t="inlineStr">
        <x:is>
          <x:t xml:space="preserve">오류 응답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HTTP 상태</x:t>
        </x:is>
      </x:c>
      <x:c r="B27" s="10" t="inlineStr">
        <x:is>
          <x:t xml:space="preserve">오류 코드</x:t>
        </x:is>
      </x:c>
      <x:c r="C27" s="10" t="inlineStr">
        <x:is>
          <x:t xml:space="preserve">발생 조건</x:t>
        </x:is>
      </x:c>
      <x:c r="D27" s="10" t="inlineStr">
        <x:is>
          <x:t xml:space="preserve">프론트 처리</x:t>
        </x:is>
      </x:c>
      <x:c r="E27" s="11" t="inlineStr">
        <x:is>
          <x:t xml:space="preserve">현재 상태</x:t>
        </x:is>
      </x:c>
    </x:row>
    <x:row r="28">
      <x:c r="A28" s="67" t="inlineStr">
        <x:is>
          <x:t xml:space="preserve">401 Unauthorized</x:t>
        </x:is>
      </x:c>
      <x:c r="B28" s="46" t="inlineStr">
        <x:is>
          <x:t xml:space="preserve">UNAUTHORIZED</x:t>
        </x:is>
      </x:c>
      <x:c r="C28" s="46" t="inlineStr">
        <x:is>
          <x:t xml:space="preserve">인증 쿠키가 없거나 유효하지 않음</x:t>
        </x:is>
      </x:c>
      <x:c r="D28" s="46" t="inlineStr">
        <x:is>
          <x:t xml:space="preserve">로그인 화면으로 이동</x:t>
        </x:is>
      </x:c>
      <x:c r="E28" s="68" t="inlineStr">
        <x:is>
          <x:t xml:space="preserve">계약 정의·인증 미구현</x:t>
        </x:is>
      </x:c>
    </x:row>
    <x:row r="29">
      <x:c r="A29" s="69" t="inlineStr">
        <x:is>
          <x:t xml:space="preserve">403 Forbidden</x:t>
        </x:is>
      </x:c>
      <x:c r="B29" s="47" t="inlineStr">
        <x:is>
          <x:t xml:space="preserve">CSRF_INVALID</x:t>
        </x:is>
      </x:c>
      <x:c r="C29" s="47" t="inlineStr">
        <x:is>
          <x:t xml:space="preserve">CSRF 토큰이 없거나 일치하지 않음</x:t>
        </x:is>
      </x:c>
      <x:c r="D29" s="47" t="inlineStr">
        <x:is>
          <x:t xml:space="preserve">토큰 갱신 후 1회 재시도</x:t>
        </x:is>
      </x:c>
      <x:c r="E29" s="70" t="inlineStr">
        <x:is>
          <x:t xml:space="preserve">계약 정의·CSRF 미구현</x:t>
        </x:is>
      </x:c>
    </x:row>
    <x:row r="30">
      <x:c r="A30" s="71" t="inlineStr">
        <x:is>
          <x:t xml:space="preserve">500 Internal Server Error</x:t>
        </x:is>
      </x:c>
      <x:c r="B30" s="48" t="inlineStr">
        <x:is>
          <x:t xml:space="preserve">INTERNAL_ERROR</x:t>
        </x:is>
      </x:c>
      <x:c r="C30" s="48" t="inlineStr">
        <x:is>
          <x:t xml:space="preserve">예상하지 못한 서버 오류</x:t>
        </x:is>
      </x:c>
      <x:c r="D30" s="48" t="inlineStr">
        <x:is>
          <x:t xml:space="preserve">재시도 안내 후 지속 시 오류 정보 전달</x:t>
        </x:is>
      </x:c>
      <x:c r="E30" s="72" t="inlineStr">
        <x:is>
          <x:t xml:space="preserve">현재 구현</x:t>
        </x:is>
      </x:c>
    </x:row>
  </x:sheetData>
  <x:mergeCells>
    <x:mergeCell ref="A4:H4"/>
    <x:mergeCell ref="A26:H26"/>
    <x:mergeCell ref="A16:H16"/>
    <x:mergeCell ref="A10:H10"/>
    <x:mergeCell ref="B2:H2"/>
    <x:mergeCell ref="A11:H11"/>
    <x:mergeCell ref="A13:H13"/>
    <x:mergeCell ref="A14:H14"/>
    <x:mergeCell ref="A1:H1"/>
    <x:mergeCell ref="A22:H22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39a8132105d54997"/>
    <x:tablePart xmlns:r="http://schemas.openxmlformats.org/officeDocument/2006/relationships" r:id="R8333e6995fd94683"/>
    <x:tablePart xmlns:r="http://schemas.openxmlformats.org/officeDocument/2006/relationships" r:id="R92cf9eefb4ad4bb4"/>
  </x:tableParts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API-007 · 내 자기소개서 목록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/cover-letters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/cover-letters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부분 구현·신규 계약 미구현</x:v>
      </x:c>
    </x:row>
    <x:row r="6" ht="22.5" customHeight="1">
      <x:c r="A6" s="213" t="str">
        <x:v>기능</x:v>
      </x:c>
      <x:c r="B6" s="177" t="str">
        <x:v>내 자기소개서 목록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부분 구현·신규 계약 미구현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2.5" customHeight="1">
      <x:c r="A11" s="221" t="str">
        <x:v>GET /cover-letters?page=1&amp;size=9&amp;status=REVIEWED HTTP/1.1
Accept: application/json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235.5" customHeight="1">
      <x:c r="A14" s="221" t="str">
        <x:v>HTTP/1.1 200 OK
Content-Type: application/json
{
  "items": [{
    "id": "cl_01HZ...",
    "title": "2026 상반기 백엔드 개발자 자기소개서",
    "companyName": "Rewrite Corp",
    "positionTitle": "백엔드 개발자",
    "status": "REVIEWED",
    "createdAt": "2026-06-20T14:00:00",
    "latestReviewVersionId": "rv_01HZ...",
    "activeReviewJob": {
      "jobId": "job_01HZ...",
      "type": "COVER_LETTER_RE_REVIEW",
      "status": "PROCESSING"
    }
  }],
  "page": 1, "size": 9, "totalItems": 21, "totalPages": 3
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query</x:v>
      </x:c>
      <x:c r="B18" s="233" t="str">
        <x:v>page</x:v>
      </x:c>
      <x:c r="C18" s="233" t="str">
        <x:v>integer</x:v>
      </x:c>
      <x:c r="D18" s="233" t="str">
        <x:v>선택</x:v>
      </x:c>
      <x:c r="E18" s="233" t="str">
        <x:v>1 이상, 기본 1</x:v>
      </x:c>
      <x:c r="F18" s="233"/>
      <x:c r="G18" s="233"/>
      <x:c r="H18" s="233"/>
    </x:row>
    <x:row r="19" ht="18" customHeight="1">
      <x:c r="A19" s="233" t="str">
        <x:v>query</x:v>
      </x:c>
      <x:c r="B19" s="233" t="str">
        <x:v>size</x:v>
      </x:c>
      <x:c r="C19" s="233" t="str">
        <x:v>integer</x:v>
      </x:c>
      <x:c r="D19" s="233" t="str">
        <x:v>선택</x:v>
      </x:c>
      <x:c r="E19" s="233" t="str">
        <x:v>1~9, 기본 9</x:v>
      </x:c>
      <x:c r="F19" s="233"/>
      <x:c r="G19" s="233"/>
      <x:c r="H19" s="233"/>
    </x:row>
    <x:row r="20" ht="22.5" customHeight="1">
      <x:c r="A20" s="233" t="str">
        <x:v>query</x:v>
      </x:c>
      <x:c r="B20" s="233" t="str">
        <x:v>status</x:v>
      </x:c>
      <x:c r="C20" s="233" t="str">
        <x:v>string</x:v>
      </x:c>
      <x:c r="D20" s="233" t="str">
        <x:v>선택</x:v>
      </x:c>
      <x:c r="E20" s="233" t="str">
        <x:v>DRAFT | REVIEWING | REVIEWED | REVIEW_FAILED</x:v>
      </x:c>
      <x:c r="F20" s="233"/>
      <x:c r="G20" s="233"/>
      <x:c r="H20" s="233"/>
    </x:row>
    <x:row r="21" ht="18" customHeight="1">
      <x:c r="A21" s="233" t="str">
        <x:v>cookie</x:v>
      </x:c>
      <x:c r="B21" s="233" t="str">
        <x:v>access_token</x:v>
      </x:c>
      <x:c r="C21" s="233" t="str">
        <x:v>string</x:v>
      </x:c>
      <x:c r="D21" s="233" t="str">
        <x:v>계약상 필수</x:v>
      </x:c>
      <x:c r="E21" s="233" t="str">
        <x:v>현재 사용자 인증 cookie (인증 미구현)</x:v>
      </x:c>
      <x:c r="F21" s="233"/>
      <x:c r="G21" s="233"/>
      <x:c r="H21" s="233"/>
    </x:row>
    <x:row r="23" ht="19.5" customHeight="1">
      <x:c r="A23" s="208" t="str">
        <x:v>응답 필드 설명</x:v>
      </x:c>
      <x:c r="B23" s="208"/>
      <x:c r="C23" s="208"/>
      <x:c r="D23" s="208"/>
      <x:c r="E23" s="208"/>
      <x:c r="F23" s="208"/>
      <x:c r="G23" s="208"/>
      <x:c r="H23" s="208"/>
    </x:row>
    <x:row r="24" ht="18" customHeight="1">
      <x:c r="A24" s="228" t="str">
        <x:v>위치</x:v>
      </x:c>
      <x:c r="B24" s="228" t="str">
        <x:v>필드 경로</x:v>
      </x:c>
      <x:c r="C24" s="228" t="str">
        <x:v>타입</x:v>
      </x:c>
      <x:c r="D24" s="228" t="str">
        <x:v>필수 여부</x:v>
      </x:c>
      <x:c r="E24" s="228" t="str">
        <x:v>의미·제약</x:v>
      </x:c>
      <x:c r="F24" s="228"/>
      <x:c r="G24" s="228"/>
      <x:c r="H24" s="228"/>
    </x:row>
    <x:row r="25" ht="18" customHeight="1">
      <x:c r="A25" s="233" t="str">
        <x:v>body</x:v>
      </x:c>
      <x:c r="B25" s="233" t="str">
        <x:v>items</x:v>
      </x:c>
      <x:c r="C25" s="233" t="str">
        <x:v>array</x:v>
      </x:c>
      <x:c r="D25" s="233" t="str">
        <x:v>필수</x:v>
      </x:c>
      <x:c r="E25" s="233" t="str">
        <x:v>현재 사용자의 soft delete되지 않은 자기소개서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items[].id</x:v>
      </x:c>
      <x:c r="C26" s="233" t="str">
        <x:v>string</x:v>
      </x:c>
      <x:c r="D26" s="233" t="str">
        <x:v>필수</x:v>
      </x:c>
      <x:c r="E26" s="233" t="str">
        <x:v>자기소개서 ID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items[].title</x:v>
      </x:c>
      <x:c r="C27" s="233" t="str">
        <x:v>string</x:v>
      </x:c>
      <x:c r="D27" s="233" t="str">
        <x:v>nullable</x:v>
      </x:c>
      <x:c r="E27" s="233" t="str">
        <x:v>자기소개서 제목</x:v>
      </x:c>
      <x:c r="F27" s="233"/>
      <x:c r="G27" s="233"/>
      <x:c r="H27" s="233"/>
    </x:row>
    <x:row r="28" ht="18" customHeight="1">
      <x:c r="A28" s="233" t="str">
        <x:v>body</x:v>
      </x:c>
      <x:c r="B28" s="233" t="str">
        <x:v>items[].companyName</x:v>
      </x:c>
      <x:c r="C28" s="233" t="str">
        <x:v>string</x:v>
      </x:c>
      <x:c r="D28" s="233" t="str">
        <x:v>nullable</x:v>
      </x:c>
      <x:c r="E28" s="233" t="str">
        <x:v>지원 회사명</x:v>
      </x:c>
      <x:c r="F28" s="233"/>
      <x:c r="G28" s="233"/>
      <x:c r="H28" s="233"/>
    </x:row>
    <x:row r="29" ht="18" customHeight="1">
      <x:c r="A29" s="233" t="str">
        <x:v>body</x:v>
      </x:c>
      <x:c r="B29" s="233" t="str">
        <x:v>items[].positionTitle</x:v>
      </x:c>
      <x:c r="C29" s="233" t="str">
        <x:v>string</x:v>
      </x:c>
      <x:c r="D29" s="233" t="str">
        <x:v>nullable</x:v>
      </x:c>
      <x:c r="E29" s="233" t="str">
        <x:v>지원 직무명</x:v>
      </x:c>
      <x:c r="F29" s="233"/>
      <x:c r="G29" s="233"/>
      <x:c r="H29" s="233"/>
    </x:row>
    <x:row r="30" ht="18" customHeight="1">
      <x:c r="A30" s="233" t="str">
        <x:v>body</x:v>
      </x:c>
      <x:c r="B30" s="233" t="str">
        <x:v>items[].status</x:v>
      </x:c>
      <x:c r="C30" s="233" t="str">
        <x:v>string</x:v>
      </x:c>
      <x:c r="D30" s="233" t="str">
        <x:v>필수</x:v>
      </x:c>
      <x:c r="E30" s="233" t="str">
        <x:v>자기소개서 상태. 기존 status filter 의미 유지</x:v>
      </x:c>
      <x:c r="F30" s="233"/>
      <x:c r="G30" s="233"/>
      <x:c r="H30" s="233"/>
    </x:row>
    <x:row r="31" ht="18" customHeight="1">
      <x:c r="A31" s="233" t="str">
        <x:v>body</x:v>
      </x:c>
      <x:c r="B31" s="233" t="str">
        <x:v>items[].createdAt</x:v>
      </x:c>
      <x:c r="C31" s="233" t="str">
        <x:v>string</x:v>
      </x:c>
      <x:c r="D31" s="233" t="str">
        <x:v>필수</x:v>
      </x:c>
      <x:c r="E31" s="233" t="str">
        <x:v>Asia/Seoul LocalDateTime</x:v>
      </x:c>
      <x:c r="F31" s="233"/>
      <x:c r="G31" s="233"/>
      <x:c r="H31" s="233"/>
    </x:row>
    <x:row r="32" ht="18" customHeight="1">
      <x:c r="A32" s="233" t="str">
        <x:v>body</x:v>
      </x:c>
      <x:c r="B32" s="233" t="str">
        <x:v>items[].latestReviewVersionId</x:v>
      </x:c>
      <x:c r="C32" s="233" t="str">
        <x:v>string</x:v>
      </x:c>
      <x:c r="D32" s="233" t="str">
        <x:v>nullable</x:v>
      </x:c>
      <x:c r="E32" s="233" t="str">
        <x:v>성공한 최신 첨삭 버전 ID</x:v>
      </x:c>
      <x:c r="F32" s="233"/>
      <x:c r="G32" s="233"/>
      <x:c r="H32" s="233"/>
    </x:row>
    <x:row r="33" ht="18" customHeight="1">
      <x:c r="A33" s="233" t="str">
        <x:v>body</x:v>
      </x:c>
      <x:c r="B33" s="233" t="str">
        <x:v>items[].activeReviewJob</x:v>
      </x:c>
      <x:c r="C33" s="233" t="str">
        <x:v>object</x:v>
      </x:c>
      <x:c r="D33" s="233" t="str">
        <x:v>nullable</x:v>
      </x:c>
      <x:c r="E33" s="233" t="str">
        <x:v>현재 최초/재첨삭 PENDING 또는 PROCESSING Job</x:v>
      </x:c>
      <x:c r="F33" s="233"/>
      <x:c r="G33" s="233"/>
      <x:c r="H33" s="233"/>
    </x:row>
    <x:row r="34" ht="18" customHeight="1">
      <x:c r="A34" s="233" t="str">
        <x:v>body</x:v>
      </x:c>
      <x:c r="B34" s="233" t="str">
        <x:v>items[].activeReviewJob.jobId</x:v>
      </x:c>
      <x:c r="C34" s="233" t="str">
        <x:v>string</x:v>
      </x:c>
      <x:c r="D34" s="233" t="str">
        <x:v>조건부</x:v>
      </x:c>
      <x:c r="E34" s="233" t="str">
        <x:v>활성 첨삭 Job ID</x:v>
      </x:c>
      <x:c r="F34" s="233"/>
      <x:c r="G34" s="233"/>
      <x:c r="H34" s="233"/>
    </x:row>
    <x:row r="35" ht="22.5" customHeight="1">
      <x:c r="A35" s="233" t="str">
        <x:v>body</x:v>
      </x:c>
      <x:c r="B35" s="233" t="str">
        <x:v>items[].activeReviewJob.type</x:v>
      </x:c>
      <x:c r="C35" s="233" t="str">
        <x:v>string</x:v>
      </x:c>
      <x:c r="D35" s="233" t="str">
        <x:v>조건부</x:v>
      </x:c>
      <x:c r="E35" s="233" t="str">
        <x:v>COVER_LETTER_REVIEW | COVER_LETTER_RE_REVIEW</x:v>
      </x:c>
      <x:c r="F35" s="233"/>
      <x:c r="G35" s="233"/>
      <x:c r="H35" s="233"/>
    </x:row>
    <x:row r="36" ht="18" customHeight="1">
      <x:c r="A36" s="233" t="str">
        <x:v>body</x:v>
      </x:c>
      <x:c r="B36" s="233" t="str">
        <x:v>items[].activeReviewJob.status</x:v>
      </x:c>
      <x:c r="C36" s="233" t="str">
        <x:v>string</x:v>
      </x:c>
      <x:c r="D36" s="233" t="str">
        <x:v>조건부</x:v>
      </x:c>
      <x:c r="E36" s="233" t="str">
        <x:v>PENDING | PROCESSING</x:v>
      </x:c>
      <x:c r="F36" s="233"/>
      <x:c r="G36" s="233"/>
      <x:c r="H36" s="233"/>
    </x:row>
    <x:row r="37" ht="18" customHeight="1">
      <x:c r="A37" s="233" t="str">
        <x:v>body</x:v>
      </x:c>
      <x:c r="B37" s="233" t="str">
        <x:v>page</x:v>
      </x:c>
      <x:c r="C37" s="233" t="str">
        <x:v>integer</x:v>
      </x:c>
      <x:c r="D37" s="233" t="str">
        <x:v>필수</x:v>
      </x:c>
      <x:c r="E37" s="233" t="str">
        <x:v>현재 페이지</x:v>
      </x:c>
      <x:c r="F37" s="233"/>
      <x:c r="G37" s="233"/>
      <x:c r="H37" s="233"/>
    </x:row>
    <x:row r="38" ht="18" customHeight="1">
      <x:c r="A38" s="233" t="str">
        <x:v>body</x:v>
      </x:c>
      <x:c r="B38" s="233" t="str">
        <x:v>size</x:v>
      </x:c>
      <x:c r="C38" s="233" t="str">
        <x:v>integer</x:v>
      </x:c>
      <x:c r="D38" s="233" t="str">
        <x:v>필수</x:v>
      </x:c>
      <x:c r="E38" s="233" t="str">
        <x:v>페이지 크기</x:v>
      </x:c>
      <x:c r="F38" s="233"/>
      <x:c r="G38" s="233"/>
      <x:c r="H38" s="233"/>
    </x:row>
    <x:row r="39" ht="18" customHeight="1">
      <x:c r="A39" s="233" t="str">
        <x:v>body</x:v>
      </x:c>
      <x:c r="B39" s="233" t="str">
        <x:v>totalItems</x:v>
      </x:c>
      <x:c r="C39" s="233" t="str">
        <x:v>integer</x:v>
      </x:c>
      <x:c r="D39" s="233" t="str">
        <x:v>필수</x:v>
      </x:c>
      <x:c r="E39" s="233" t="str">
        <x:v>전체 항목 수</x:v>
      </x:c>
      <x:c r="F39" s="233"/>
      <x:c r="G39" s="233"/>
      <x:c r="H39" s="233"/>
    </x:row>
    <x:row r="40" ht="18" customHeight="1">
      <x:c r="A40" s="233" t="str">
        <x:v>body</x:v>
      </x:c>
      <x:c r="B40" s="233" t="str">
        <x:v>totalPages</x:v>
      </x:c>
      <x:c r="C40" s="233" t="str">
        <x:v>integer</x:v>
      </x:c>
      <x:c r="D40" s="233" t="str">
        <x:v>필수</x:v>
      </x:c>
      <x:c r="E40" s="233" t="str">
        <x:v>전체 페이지 수</x:v>
      </x:c>
      <x:c r="F40" s="233"/>
      <x:c r="G40" s="233"/>
      <x:c r="H40" s="233"/>
    </x:row>
    <x:row r="41">
      <x:c r="A41"/>
      <x:c r="B41"/>
      <x:c r="C41"/>
      <x:c r="D41"/>
      <x:c r="E41"/>
    </x:row>
    <x:row r="42" ht="19.5" customHeight="1">
      <x:c r="A42" s="208" t="str">
        <x:v>오류 응답</x:v>
      </x:c>
      <x:c r="B42" s="208"/>
      <x:c r="C42" s="208"/>
      <x:c r="D42" s="208"/>
      <x:c r="E42" s="208"/>
      <x:c r="F42" s="208"/>
      <x:c r="G42" s="208"/>
      <x:c r="H42" s="208"/>
    </x:row>
    <x:row r="43">
      <x:c r="A43" s="228" t="str">
        <x:v>HTTP 상태</x:v>
      </x:c>
      <x:c r="B43" s="228" t="str">
        <x:v>오류 코드</x:v>
      </x:c>
      <x:c r="C43" s="228" t="str">
        <x:v>발생 조건</x:v>
      </x:c>
      <x:c r="D43" s="228" t="str">
        <x:v>프론트 처리</x:v>
      </x:c>
      <x:c r="E43" s="228"/>
      <x:c r="F43" s="228" t="str">
        <x:v>현재 상태</x:v>
      </x:c>
      <x:c r="G43" s="228"/>
      <x:c r="H43" s="228"/>
    </x:row>
    <x:row r="44" ht="21" customHeight="1">
      <x:c r="A44" s="233" t="str">
        <x:v>400 Bad Request</x:v>
      </x:c>
      <x:c r="B44" s="233" t="str">
        <x:v>VALIDATION_ERROR</x:v>
      </x:c>
      <x:c r="C44" s="233" t="str">
        <x:v>page, size, status query가 유효하지 않음</x:v>
      </x:c>
      <x:c r="D44" s="233" t="str">
        <x:v>필드 입력 확인</x:v>
      </x:c>
      <x:c r="E44" s="233"/>
      <x:c r="F44" s="233" t="str">
        <x:v>현재 구현</x:v>
      </x:c>
      <x:c r="G44" s="233"/>
      <x:c r="H44" s="233"/>
    </x:row>
    <x:row r="45" ht="21" customHeight="1">
      <x:c r="A45" s="233" t="str">
        <x:v>401 Unauthorized</x:v>
      </x:c>
      <x:c r="B45" s="233" t="str">
        <x:v>UNAUTHORIZED</x:v>
      </x:c>
      <x:c r="C45" s="233" t="str">
        <x:v>인증 cookie가 없거나 유효하지 않음</x:v>
      </x:c>
      <x:c r="D45" s="233" t="str">
        <x:v>로그인 화면으로 이동</x:v>
      </x:c>
      <x:c r="E45" s="233"/>
      <x:c r="F45" s="233" t="str">
        <x:v>계약 정의·인증 미구현</x:v>
      </x:c>
      <x:c r="G45" s="233"/>
      <x:c r="H45" s="233"/>
    </x:row>
    <x:row r="46" ht="21" customHeight="1">
      <x:c r="A46" s="233" t="str">
        <x:v>404 Not Found</x:v>
      </x:c>
      <x:c r="B46" s="233" t="str">
        <x:v>NOT_FOUND</x:v>
      </x:c>
      <x:c r="C46" s="233" t="str">
        <x:v>리소스가 없거나 소유자가 다르거나 삭제됨</x:v>
      </x:c>
      <x:c r="D46" s="233" t="str">
        <x:v>목록으로 이동하거나 삭제 상태 반영</x:v>
      </x:c>
      <x:c r="E46" s="233"/>
      <x:c r="F46" s="233" t="str">
        <x:v>현재 구현/신규 API는 구현 예정</x:v>
      </x:c>
      <x:c r="G46" s="233"/>
      <x:c r="H46" s="233"/>
    </x:row>
    <x:row r="47" ht="21" customHeight="1">
      <x:c r="A47" s="233" t="str">
        <x:v>500 Internal Server Error</x:v>
      </x:c>
      <x:c r="B47" s="233" t="str">
        <x:v>INTERNAL_ERROR</x:v>
      </x:c>
      <x:c r="C47" s="233" t="str">
        <x:v>예상하지 못한 서버 오류</x:v>
      </x:c>
      <x:c r="D47" s="233" t="str">
        <x:v>재시도 안내 후 지속 시 오류 정보 전달</x:v>
      </x:c>
      <x:c r="E47" s="233"/>
      <x:c r="F47" s="233" t="str">
        <x:v>공통 처리</x:v>
      </x:c>
      <x:c r="G47" s="233"/>
      <x:c r="H47" s="233"/>
    </x:row>
    <x:row r="49" ht="19.5" customHeight="1">
      <x:c r="A49" s="208" t="str">
        <x:v>프론트엔드 구현 메모</x:v>
      </x:c>
      <x:c r="B49" s="208"/>
      <x:c r="C49" s="208"/>
      <x:c r="D49" s="208"/>
      <x:c r="E49" s="208"/>
      <x:c r="F49" s="208"/>
      <x:c r="G49" s="208"/>
      <x:c r="H49" s="208"/>
    </x:row>
    <x:row r="50" ht="36" customHeight="1">
      <x:c r="A50" s="233" t="str">
        <x:v>현재 목록 API는 구현되어 있으나 activeReviewJob 필드는 아직 구현되지 않았다. 최초 첨삭과 재첨삭 모두 activeReviewJob이 있으면 카드에 '첨삭 중'을 표시한다.</x:v>
      </x:c>
      <x:c r="B50" s="233"/>
      <x:c r="C50" s="233"/>
      <x:c r="D50" s="233"/>
      <x:c r="E50" s="233"/>
      <x:c r="F50" s="233"/>
      <x:c r="G50" s="233"/>
      <x:c r="H50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E20:H20"/>
    <x:mergeCell ref="E21:H21"/>
    <x:mergeCell ref="A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E36:H36"/>
    <x:mergeCell ref="E37:H37"/>
    <x:mergeCell ref="E38:H38"/>
    <x:mergeCell ref="E39:H39"/>
    <x:mergeCell ref="E40:H40"/>
    <x:mergeCell ref="A42:H42"/>
    <x:mergeCell ref="D43:E43"/>
    <x:mergeCell ref="F43:H43"/>
    <x:mergeCell ref="D44:E44"/>
    <x:mergeCell ref="F44:H44"/>
    <x:mergeCell ref="D45:E45"/>
    <x:mergeCell ref="F45:H45"/>
    <x:mergeCell ref="D46:E46"/>
    <x:mergeCell ref="F46:H46"/>
    <x:mergeCell ref="D47:E47"/>
    <x:mergeCell ref="F47:H47"/>
    <x:mergeCell ref="A49:H49"/>
    <x:mergeCell ref="A50:H50"/>
  </x:mergeCells>
  <x:pageMargins left="0.7" right="0.7" top="0.75" bottom="0.75" header="0.3" footer="0.3"/>
  <x:pageSetup paperSize="9" orientation="landscape" fitToWidth="1" fitToHeight="0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API-008  ·  자기소개서 초안 생성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/cover-letters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/cover-letters</x:t>
        </x:is>
      </x:c>
      <x:c r="E5" s="82" t="inlineStr">
        <x:is>
          <x:t xml:space="preserve">성공 상태</x:t>
        </x:is>
      </x:c>
      <x:c r="F5" s="46" t="inlineStr">
        <x:is>
          <x:t xml:space="preserve">201 Created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자기소개서 초안 생성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POST /cover-letters HTTP/1.1
Accept: application/json
Cookie: access_token=&lt;access_token&gt;
X-CSRF-Token: &lt;csrf-token&gt;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26" customHeight="1">
      <x:c r="A14" s="115" t="inlineStr">
        <x:is>
          <x:t xml:space="preserve">HTTP/1.1 201 Created
Content-Type: application/json
{
  "id": "cl_01HZ...",
  "status": "DRAFT",
  "createdAt": "2026-06-20T14:00:00"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cookie</x:t>
        </x:is>
      </x:c>
      <x:c r="B18" s="46" t="inlineStr">
        <x:is>
          <x:t xml:space="preserve">access_token</x:t>
        </x:is>
      </x:c>
      <x:c r="C18" s="46" t="inlineStr">
        <x:is>
          <x:t xml:space="preserve">string</x:t>
        </x:is>
      </x:c>
      <x:c r="D18" s="46" t="inlineStr">
        <x:is>
          <x:t xml:space="preserve">계약상 필수 (현재 미검증)</x:t>
        </x:is>
      </x:c>
      <x:c r="E18" s="68" t="inlineStr">
        <x:is>
          <x:t xml:space="preserve">현재 사용자 인증 cookie</x:t>
        </x:is>
      </x:c>
    </x:row>
    <x:row r="19">
      <x:c r="A19" s="71" t="inlineStr">
        <x:is>
          <x:t xml:space="preserve">header</x:t>
        </x:is>
      </x:c>
      <x:c r="B19" s="48" t="inlineStr">
        <x:is>
          <x:t xml:space="preserve">X-CSRF-Token</x:t>
        </x:is>
      </x:c>
      <x:c r="C19" s="48" t="inlineStr">
        <x:is>
          <x:t xml:space="preserve">string</x:t>
        </x:is>
      </x:c>
      <x:c r="D19" s="48" t="inlineStr">
        <x:is>
          <x:t xml:space="preserve">계약상 필수 (현재 미검증)</x:t>
        </x:is>
      </x:c>
      <x:c r="E19" s="72" t="inlineStr">
        <x:is>
          <x:t xml:space="preserve">상태 변경 요청용 CSRF 토큰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67" t="inlineStr">
        <x:is>
          <x:t xml:space="preserve">id</x:t>
        </x:is>
      </x:c>
      <x:c r="B23" s="46" t="inlineStr">
        <x:is>
          <x:t xml:space="preserve">string</x:t>
        </x:is>
      </x:c>
      <x:c r="C23" s="46" t="inlineStr">
        <x:is>
          <x:t xml:space="preserve">필수</x:t>
        </x:is>
      </x:c>
      <x:c r="D23" s="68" t="inlineStr">
        <x:is>
          <x:t xml:space="preserve">리소스 고유 ID</x:t>
        </x:is>
      </x:c>
    </x:row>
    <x:row r="24">
      <x:c r="A24" s="69" t="inlineStr">
        <x:is>
          <x:t xml:space="preserve">status</x:t>
        </x:is>
      </x:c>
      <x:c r="B24" s="47" t="inlineStr">
        <x:is>
          <x:t xml:space="preserve">string</x:t>
        </x:is>
      </x:c>
      <x:c r="C24" s="47" t="inlineStr">
        <x:is>
          <x:t xml:space="preserve">필수</x:t>
        </x:is>
      </x:c>
      <x:c r="D24" s="70" t="inlineStr">
        <x:is>
          <x:t xml:space="preserve">현재 처리/리소스 상태; 고정값: DRAFT</x:t>
        </x:is>
      </x:c>
    </x:row>
    <x:row r="25">
      <x:c r="A25" s="71" t="inlineStr">
        <x:is>
          <x:t xml:space="preserve">createdAt</x:t>
        </x:is>
      </x:c>
      <x:c r="B25" s="48" t="inlineStr">
        <x:is>
          <x:t xml:space="preserve">string</x:t>
        </x:is>
      </x:c>
      <x:c r="C25" s="48" t="inlineStr">
        <x:is>
          <x:t xml:space="preserve">필수</x:t>
        </x:is>
      </x:c>
      <x:c r="D25" s="72" t="inlineStr">
        <x:is>
          <x:t xml:space="preserve">생성 일시</x:t>
        </x:is>
      </x:c>
    </x:row>
    <x:row r="27" ht="24" customHeight="1">
      <x:c r="A27" s="113" t="inlineStr">
        <x:is>
          <x:t xml:space="preserve">오류 응답</x:t>
        </x:is>
      </x:c>
      <x:c r="B27" s="106" t="n"/>
      <x:c r="C27" s="106" t="n"/>
      <x:c r="D27" s="106" t="n"/>
      <x:c r="E27" s="106" t="n"/>
      <x:c r="F27" s="106" t="n"/>
      <x:c r="G27" s="106" t="n"/>
      <x:c r="H27" s="106" t="n"/>
    </x:row>
    <x:row r="28">
      <x:c r="A28" s="9" t="inlineStr">
        <x:is>
          <x:t xml:space="preserve">HTTP 상태</x:t>
        </x:is>
      </x:c>
      <x:c r="B28" s="10" t="inlineStr">
        <x:is>
          <x:t xml:space="preserve">오류 코드</x:t>
        </x:is>
      </x:c>
      <x:c r="C28" s="10" t="inlineStr">
        <x:is>
          <x:t xml:space="preserve">발생 조건</x:t>
        </x:is>
      </x:c>
      <x:c r="D28" s="10" t="inlineStr">
        <x:is>
          <x:t xml:space="preserve">프론트 처리</x:t>
        </x:is>
      </x:c>
      <x:c r="E28" s="11" t="inlineStr">
        <x:is>
          <x:t xml:space="preserve">현재 상태</x:t>
        </x:is>
      </x:c>
    </x:row>
    <x:row r="29">
      <x:c r="A29" s="67" t="inlineStr">
        <x:is>
          <x:t xml:space="preserve">401 Unauthorized</x:t>
        </x:is>
      </x:c>
      <x:c r="B29" s="46" t="inlineStr">
        <x:is>
          <x:t xml:space="preserve">UNAUTHORIZED</x:t>
        </x:is>
      </x:c>
      <x:c r="C29" s="46" t="inlineStr">
        <x:is>
          <x:t xml:space="preserve">인증이 필요합니다.</x:t>
        </x:is>
      </x:c>
      <x:c r="D29" s="46" t="inlineStr">
        <x:is>
          <x:t xml:space="preserve">로그인 화면으로 이동</x:t>
        </x:is>
      </x:c>
      <x:c r="E29" s="68" t="inlineStr">
        <x:is>
          <x:t xml:space="preserve">계약 정의·인증 미구현</x:t>
        </x:is>
      </x:c>
    </x:row>
    <x:row r="30">
      <x:c r="A30" s="69" t="inlineStr">
        <x:is>
          <x:t xml:space="preserve">403 Forbidden</x:t>
        </x:is>
      </x:c>
      <x:c r="B30" s="47" t="inlineStr">
        <x:is>
          <x:t xml:space="preserve">CSRF_INVALID</x:t>
        </x:is>
      </x:c>
      <x:c r="C30" s="47" t="inlineStr">
        <x:is>
          <x:t xml:space="preserve">CSRF 토큰이 없거나 일치하지 않음</x:t>
        </x:is>
      </x:c>
      <x:c r="D30" s="47" t="inlineStr">
        <x:is>
          <x:t xml:space="preserve">토큰 갱신 후 1회 재시도</x:t>
        </x:is>
      </x:c>
      <x:c r="E30" s="70" t="inlineStr">
        <x:is>
          <x:t xml:space="preserve">계약 정의·CSRF 미구현</x:t>
        </x:is>
      </x:c>
    </x:row>
    <x:row r="31">
      <x:c r="A31" s="71" t="inlineStr">
        <x:is>
          <x:t xml:space="preserve">500 Internal Server Error</x:t>
        </x:is>
      </x:c>
      <x:c r="B31" s="48" t="inlineStr">
        <x:is>
          <x:t xml:space="preserve">INTERNAL_ERROR</x:t>
        </x:is>
      </x:c>
      <x:c r="C31" s="48" t="inlineStr">
        <x:is>
          <x:t xml:space="preserve">예상하지 못한 서버 오류</x:t>
        </x:is>
      </x:c>
      <x:c r="D31" s="48" t="inlineStr">
        <x:is>
          <x:t xml:space="preserve">재시도 안내 후 지속 시 오류 정보 전달</x:t>
        </x:is>
      </x:c>
      <x:c r="E31" s="72" t="inlineStr">
        <x:is>
          <x:t xml:space="preserve">현재 구현</x:t>
        </x:is>
      </x:c>
    </x:row>
  </x:sheetData>
  <x:mergeCells>
    <x:mergeCell ref="A4:H4"/>
    <x:mergeCell ref="A21:H21"/>
    <x:mergeCell ref="A16:H16"/>
    <x:mergeCell ref="A10:H10"/>
    <x:mergeCell ref="B2:H2"/>
    <x:mergeCell ref="A11:H11"/>
    <x:mergeCell ref="A13:H13"/>
    <x:mergeCell ref="A14:H14"/>
    <x:mergeCell ref="A1:H1"/>
    <x:mergeCell ref="A27:H27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88d93a5ab5734a51"/>
    <x:tablePart xmlns:r="http://schemas.openxmlformats.org/officeDocument/2006/relationships" r:id="Re281dc55e49949df"/>
    <x:tablePart xmlns:r="http://schemas.openxmlformats.org/officeDocument/2006/relationships" r:id="Rf14702958bdf4aad"/>
  </x:tableParts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API-009  ·  등록 step1 저장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PUT /cover-letters/{coverLetterId}/basic-info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PUT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/cover-letters/{coverLetterId}/basic-info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등록 step1 저장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82" customHeight="1">
      <x:c r="A11" s="115" t="inlineStr">
        <x:is>
          <x:t xml:space="preserve">PUT /cover-letters/cl_01HZ.../basic-info HTTP/1.1
Accept: application/json
Cookie: access_token=&lt;access_token&gt;
X-CSRF-Token: &lt;csrf-token&gt;
Content-Type: application/json
{
  "title": "2026 상반기 백엔드 개발자 자기소개서",
  "companyName": "Rewrite Corp",
  "positionTitle": "백엔드 개발자",
  "jobPostingUrl": "https://example.com/jobs/1"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82" customHeight="1">
      <x:c r="A14" s="115" t="inlineStr">
        <x:is>
          <x:t xml:space="preserve">HTTP/1.1 200 OK
Content-Type: application/json
{
  "id": "cl_01HZ...",
  "title": "2026 상반기 백엔드 개발자 자기소개서",
  "companyName": "Rewrite Corp",
  "positionTitle": "백엔드 개발자",
  "jobPostingUrl": "https://example.com/jobs/1",
  "status": "DRAFT",
  "updatedAt": "2026-06-20T14:05:00"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69" t="inlineStr">
        <x:is>
          <x:t xml:space="preserve">body</x:t>
        </x:is>
      </x:c>
      <x:c r="B21" s="47" t="inlineStr">
        <x:is>
          <x:t xml:space="preserve">title</x:t>
        </x:is>
      </x:c>
      <x:c r="C21" s="47" t="inlineStr">
        <x:is>
          <x:t xml:space="preserve">string</x:t>
        </x:is>
      </x:c>
      <x:c r="D21" s="47" t="inlineStr">
        <x:is>
          <x:t xml:space="preserve">필수</x:t>
        </x:is>
      </x:c>
      <x:c r="E21" s="70" t="inlineStr">
        <x:is>
          <x:t xml:space="preserve">자기소개서 제목; trim 후 1~50자</x:t>
        </x:is>
      </x:c>
    </x:row>
    <x:row r="22">
      <x:c r="A22" s="69" t="inlineStr">
        <x:is>
          <x:t xml:space="preserve">body</x:t>
        </x:is>
      </x:c>
      <x:c r="B22" s="47" t="inlineStr">
        <x:is>
          <x:t xml:space="preserve">companyName</x:t>
        </x:is>
      </x:c>
      <x:c r="C22" s="47" t="inlineStr">
        <x:is>
          <x:t xml:space="preserve">string</x:t>
        </x:is>
      </x:c>
      <x:c r="D22" s="47" t="inlineStr">
        <x:is>
          <x:t xml:space="preserve">필수</x:t>
        </x:is>
      </x:c>
      <x:c r="E22" s="70" t="inlineStr">
        <x:is>
          <x:t xml:space="preserve">지원 회사명; trim 후 1~30자</x:t>
        </x:is>
      </x:c>
    </x:row>
    <x:row r="23">
      <x:c r="A23" s="69" t="inlineStr">
        <x:is>
          <x:t xml:space="preserve">body</x:t>
        </x:is>
      </x:c>
      <x:c r="B23" s="47" t="inlineStr">
        <x:is>
          <x:t xml:space="preserve">positionTitle</x:t>
        </x:is>
      </x:c>
      <x:c r="C23" s="47" t="inlineStr">
        <x:is>
          <x:t xml:space="preserve">string</x:t>
        </x:is>
      </x:c>
      <x:c r="D23" s="47" t="inlineStr">
        <x:is>
          <x:t xml:space="preserve">필수</x:t>
        </x:is>
      </x:c>
      <x:c r="E23" s="70" t="inlineStr">
        <x:is>
          <x:t xml:space="preserve">지원 직무명; trim 후 1~30자</x:t>
        </x:is>
      </x:c>
    </x:row>
    <x:row r="24">
      <x:c r="A24" s="71" t="inlineStr">
        <x:is>
          <x:t xml:space="preserve">body</x:t>
        </x:is>
      </x:c>
      <x:c r="B24" s="48" t="inlineStr">
        <x:is>
          <x:t xml:space="preserve">jobPostingUrl</x:t>
        </x:is>
      </x:c>
      <x:c r="C24" s="48" t="inlineStr">
        <x:is>
          <x:t xml:space="preserve">string(url)</x:t>
        </x:is>
      </x:c>
      <x:c r="D24" s="48" t="inlineStr">
        <x:is>
          <x:t xml:space="preserve">선택</x:t>
        </x:is>
      </x:c>
      <x:c r="E24" s="72" t="inlineStr">
        <x:is>
          <x:t xml:space="preserve">채용 공고 URL; 최대 500자</x:t>
        </x:is>
      </x:c>
    </x:row>
    <x:row r="26" ht="24" customHeight="1">
      <x:c r="A26" s="113" t="inlineStr">
        <x:is>
          <x:t xml:space="preserve">응답 필드 설명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필드 경로</x:t>
        </x:is>
      </x:c>
      <x:c r="B27" s="10" t="inlineStr">
        <x:is>
          <x:t xml:space="preserve">타입</x:t>
        </x:is>
      </x:c>
      <x:c r="C27" s="10" t="inlineStr">
        <x:is>
          <x:t xml:space="preserve">필수/nullable</x:t>
        </x:is>
      </x:c>
      <x:c r="D27" s="11" t="inlineStr">
        <x:is>
          <x:t xml:space="preserve">필드 의미</x:t>
        </x:is>
      </x:c>
    </x:row>
    <x:row r="28">
      <x:c r="A28" s="67" t="inlineStr">
        <x:is>
          <x:t xml:space="preserve">id</x:t>
        </x:is>
      </x:c>
      <x:c r="B28" s="46" t="inlineStr">
        <x:is>
          <x:t xml:space="preserve">string</x:t>
        </x:is>
      </x:c>
      <x:c r="C28" s="46" t="inlineStr">
        <x:is>
          <x:t xml:space="preserve">필수</x:t>
        </x:is>
      </x:c>
      <x:c r="D28" s="68" t="inlineStr">
        <x:is>
          <x:t xml:space="preserve">리소스 고유 ID</x:t>
        </x:is>
      </x:c>
    </x:row>
    <x:row r="29">
      <x:c r="A29" s="69" t="inlineStr">
        <x:is>
          <x:t xml:space="preserve">title</x:t>
        </x:is>
      </x:c>
      <x:c r="B29" s="47" t="inlineStr">
        <x:is>
          <x:t xml:space="preserve">string</x:t>
        </x:is>
      </x:c>
      <x:c r="C29" s="47" t="inlineStr">
        <x:is>
          <x:t xml:space="preserve">필수</x:t>
        </x:is>
      </x:c>
      <x:c r="D29" s="70" t="inlineStr">
        <x:is>
          <x:t xml:space="preserve">자기소개서 제목</x:t>
        </x:is>
      </x:c>
    </x:row>
    <x:row r="30">
      <x:c r="A30" s="69" t="inlineStr">
        <x:is>
          <x:t xml:space="preserve">companyName</x:t>
        </x:is>
      </x:c>
      <x:c r="B30" s="47" t="inlineStr">
        <x:is>
          <x:t xml:space="preserve">string</x:t>
        </x:is>
      </x:c>
      <x:c r="C30" s="47" t="inlineStr">
        <x:is>
          <x:t xml:space="preserve">필수</x:t>
        </x:is>
      </x:c>
      <x:c r="D30" s="70" t="inlineStr">
        <x:is>
          <x:t xml:space="preserve">지원 회사명</x:t>
        </x:is>
      </x:c>
    </x:row>
    <x:row r="31">
      <x:c r="A31" s="69" t="inlineStr">
        <x:is>
          <x:t xml:space="preserve">positionTitle</x:t>
        </x:is>
      </x:c>
      <x:c r="B31" s="47" t="inlineStr">
        <x:is>
          <x:t xml:space="preserve">string</x:t>
        </x:is>
      </x:c>
      <x:c r="C31" s="47" t="inlineStr">
        <x:is>
          <x:t xml:space="preserve">필수</x:t>
        </x:is>
      </x:c>
      <x:c r="D31" s="70" t="inlineStr">
        <x:is>
          <x:t xml:space="preserve">지원 직무명</x:t>
        </x:is>
      </x:c>
    </x:row>
    <x:row r="32">
      <x:c r="A32" s="69" t="inlineStr">
        <x:is>
          <x:t xml:space="preserve">jobPostingUrl</x:t>
        </x:is>
      </x:c>
      <x:c r="B32" s="47" t="inlineStr">
        <x:is>
          <x:t xml:space="preserve">string</x:t>
        </x:is>
      </x:c>
      <x:c r="C32" s="47" t="inlineStr">
        <x:is>
          <x:t xml:space="preserve">조건부/nullable</x:t>
        </x:is>
      </x:c>
      <x:c r="D32" s="70" t="inlineStr">
        <x:is>
          <x:t xml:space="preserve">채용 공고 URL</x:t>
        </x:is>
      </x:c>
    </x:row>
    <x:row r="33">
      <x:c r="A33" s="69" t="inlineStr">
        <x:is>
          <x:t xml:space="preserve">status</x:t>
        </x:is>
      </x:c>
      <x:c r="B33" s="47" t="inlineStr">
        <x:is>
          <x:t xml:space="preserve">string</x:t>
        </x:is>
      </x:c>
      <x:c r="C33" s="47" t="inlineStr">
        <x:is>
          <x:t xml:space="preserve">필수</x:t>
        </x:is>
      </x:c>
      <x:c r="D33" s="70" t="inlineStr">
        <x:is>
          <x:t xml:space="preserve">현재 처리/리소스 상태; 고정값: DRAFT</x:t>
        </x:is>
      </x:c>
    </x:row>
    <x:row r="34">
      <x:c r="A34" s="71" t="inlineStr">
        <x:is>
          <x:t xml:space="preserve">updatedAt</x:t>
        </x:is>
      </x:c>
      <x:c r="B34" s="48" t="inlineStr">
        <x:is>
          <x:t xml:space="preserve">string</x:t>
        </x:is>
      </x:c>
      <x:c r="C34" s="48" t="inlineStr">
        <x:is>
          <x:t xml:space="preserve">필수</x:t>
        </x:is>
      </x:c>
      <x:c r="D34" s="72" t="inlineStr">
        <x:is>
          <x:t xml:space="preserve">최근 수정 일시</x:t>
        </x:is>
      </x:c>
    </x:row>
    <x:row r="36" ht="24" customHeight="1">
      <x:c r="A36" s="113" t="inlineStr">
        <x:is>
          <x:t xml:space="preserve">오류 응답</x:t>
        </x:is>
      </x:c>
      <x:c r="B36" s="106" t="n"/>
      <x:c r="C36" s="106" t="n"/>
      <x:c r="D36" s="106" t="n"/>
      <x:c r="E36" s="106" t="n"/>
      <x:c r="F36" s="106" t="n"/>
      <x:c r="G36" s="106" t="n"/>
      <x:c r="H36" s="106" t="n"/>
    </x:row>
    <x:row r="37">
      <x:c r="A37" s="9" t="inlineStr">
        <x:is>
          <x:t xml:space="preserve">HTTP 상태</x:t>
        </x:is>
      </x:c>
      <x:c r="B37" s="10" t="inlineStr">
        <x:is>
          <x:t xml:space="preserve">오류 코드</x:t>
        </x:is>
      </x:c>
      <x:c r="C37" s="10" t="inlineStr">
        <x:is>
          <x:t xml:space="preserve">발생 조건</x:t>
        </x:is>
      </x:c>
      <x:c r="D37" s="10" t="inlineStr">
        <x:is>
          <x:t xml:space="preserve">프론트 처리</x:t>
        </x:is>
      </x:c>
      <x:c r="E37" s="11" t="inlineStr">
        <x:is>
          <x:t xml:space="preserve">현재 상태</x:t>
        </x:is>
      </x:c>
    </x:row>
    <x:row r="38">
      <x:c r="A38" s="67" t="inlineStr">
        <x:is>
          <x:t xml:space="preserve">409 Conflict</x:t>
        </x:is>
      </x:c>
      <x:c r="B38" s="46" t="inlineStr">
        <x:is>
          <x:t xml:space="preserve">COVER_LETTER_NOT_DRAFT</x:t>
        </x:is>
      </x:c>
      <x:c r="C38" s="46" t="inlineStr">
        <x:is>
          <x:t xml:space="preserve">제출된 자기소개서의 원본 정보는 수정할 수 없습니다.</x:t>
        </x:is>
      </x:c>
      <x:c r="D38" s="46" t="inlineStr">
        <x:is>
          <x:t xml:space="preserve">수정 UI를 잠그고 최신 상태 재조회</x:t>
        </x:is>
      </x:c>
      <x:c r="E38" s="68" t="inlineStr">
        <x:is>
          <x:t xml:space="preserve">현재 구현</x:t>
        </x:is>
      </x:c>
    </x:row>
    <x:row r="39">
      <x:c r="A39" s="69" t="inlineStr">
        <x:is>
          <x:t xml:space="preserve">400 Bad Request</x:t>
        </x:is>
      </x:c>
      <x:c r="B39" s="47" t="inlineStr">
        <x:is>
          <x:t xml:space="preserve">VALIDATION_ERROR</x:t>
        </x:is>
      </x:c>
      <x:c r="C39" s="47" t="inlineStr">
        <x:is>
          <x:t xml:space="preserve">요청 값이 제약 조건을 위반함</x:t>
        </x:is>
      </x:c>
      <x:c r="D39" s="47" t="inlineStr">
        <x:is>
          <x:t xml:space="preserve">error.details의 field/reason을 입력 항목에 표시</x:t>
        </x:is>
      </x:c>
      <x:c r="E39" s="70" t="inlineStr">
        <x:is>
          <x:t xml:space="preserve">현재 구현</x:t>
        </x:is>
      </x:c>
    </x:row>
    <x:row r="40">
      <x:c r="A40" s="69" t="inlineStr">
        <x:is>
          <x:t xml:space="preserve">401 Unauthorized</x:t>
        </x:is>
      </x:c>
      <x:c r="B40" s="47" t="inlineStr">
        <x:is>
          <x:t xml:space="preserve">UNAUTHORIZED</x:t>
        </x:is>
      </x:c>
      <x:c r="C40" s="47" t="inlineStr">
        <x:is>
          <x:t xml:space="preserve">인증 쿠키가 없거나 유효하지 않음</x:t>
        </x:is>
      </x:c>
      <x:c r="D40" s="47" t="inlineStr">
        <x:is>
          <x:t xml:space="preserve">로그인 화면으로 이동</x:t>
        </x:is>
      </x:c>
      <x:c r="E40" s="70" t="inlineStr">
        <x:is>
          <x:t xml:space="preserve">계약 정의·인증 미구현</x:t>
        </x:is>
      </x:c>
    </x:row>
    <x:row r="41">
      <x:c r="A41" s="69" t="inlineStr">
        <x:is>
          <x:t xml:space="preserve">403 Forbidden</x:t>
        </x:is>
      </x:c>
      <x:c r="B41" s="47" t="inlineStr">
        <x:is>
          <x:t xml:space="preserve">CSRF_INVALID</x:t>
        </x:is>
      </x:c>
      <x:c r="C41" s="47" t="inlineStr">
        <x:is>
          <x:t xml:space="preserve">CSRF 토큰이 없거나 일치하지 않음</x:t>
        </x:is>
      </x:c>
      <x:c r="D41" s="47" t="inlineStr">
        <x:is>
          <x:t xml:space="preserve">토큰 갱신 후 1회 재시도</x:t>
        </x:is>
      </x:c>
      <x:c r="E41" s="70" t="inlineStr">
        <x:is>
          <x:t xml:space="preserve">계약 정의·CSRF 미구현</x:t>
        </x:is>
      </x:c>
    </x:row>
    <x:row r="42">
      <x:c r="A42" s="69" t="inlineStr">
        <x:is>
          <x:t xml:space="preserve">404 Not Found</x:t>
        </x:is>
      </x:c>
      <x:c r="B42" s="47" t="inlineStr">
        <x:is>
          <x:t xml:space="preserve">NOT_FOUND</x:t>
        </x:is>
      </x:c>
      <x:c r="C42" s="47" t="inlineStr">
        <x:is>
          <x:t xml:space="preserve">대상이 없거나 접근 권한이 없음</x:t>
        </x:is>
      </x:c>
      <x:c r="D42" s="47" t="inlineStr">
        <x:is>
          <x:t xml:space="preserve">목록으로 이동하거나 삭제 상태 반영</x:t>
        </x:is>
      </x:c>
      <x:c r="E42" s="70" t="inlineStr">
        <x:is>
          <x:t xml:space="preserve">현재 구현</x:t>
        </x:is>
      </x:c>
    </x:row>
    <x:row r="43">
      <x:c r="A43" s="71" t="inlineStr">
        <x:is>
          <x:t xml:space="preserve">500 Internal Server Error</x:t>
        </x:is>
      </x:c>
      <x:c r="B43" s="48" t="inlineStr">
        <x:is>
          <x:t xml:space="preserve">INTERNAL_ERROR</x:t>
        </x:is>
      </x:c>
      <x:c r="C43" s="48" t="inlineStr">
        <x:is>
          <x:t xml:space="preserve">예상하지 못한 서버 오류</x:t>
        </x:is>
      </x:c>
      <x:c r="D43" s="48" t="inlineStr">
        <x:is>
          <x:t xml:space="preserve">재시도 안내 후 지속 시 오류 정보 전달</x:t>
        </x:is>
      </x:c>
      <x:c r="E43" s="72" t="inlineStr">
        <x:is>
          <x:t xml:space="preserve">현재 구현</x:t>
        </x:is>
      </x:c>
    </x:row>
  </x:sheetData>
  <x:mergeCells>
    <x:mergeCell ref="A4:H4"/>
    <x:mergeCell ref="A26:H26"/>
    <x:mergeCell ref="A16:H16"/>
    <x:mergeCell ref="A10:H10"/>
    <x:mergeCell ref="B2:H2"/>
    <x:mergeCell ref="A11:H11"/>
    <x:mergeCell ref="A13:H13"/>
    <x:mergeCell ref="A14:H14"/>
    <x:mergeCell ref="A1:H1"/>
    <x:mergeCell ref="A36:H36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77a592f2b0e143e9"/>
    <x:tablePart xmlns:r="http://schemas.openxmlformats.org/officeDocument/2006/relationships" r:id="R9087f922a1b04abe"/>
    <x:tablePart xmlns:r="http://schemas.openxmlformats.org/officeDocument/2006/relationships" r:id="R612a6720f83b4b38"/>
  </x:tableParts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API-010  ·  등록 step2 저장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PUT /cover-letters/{coverLetterId}/preferences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PUT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/cover-letters/{coverLetterId}/preferences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등록 step2 저장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40" customHeight="1">
      <x:c r="A11" s="115" t="inlineStr">
        <x:is>
          <x:t xml:space="preserve">PUT /cover-letters/cl_01HZ.../preferences HTTP/1.1
Accept: application/json
Cookie: access_token=&lt;access_token&gt;
X-CSRF-Token: &lt;csrf-token&gt;
Content-Type: application/json
{
  "preferences": "Spring Boot 경험, 대용량 트래픽 처리 경험 우대"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40" customHeight="1">
      <x:c r="A14" s="115" t="inlineStr">
        <x:is>
          <x:t xml:space="preserve">HTTP/1.1 200 OK
Content-Type: application/json
{
  "id": "cl_01HZ...",
  "preferences": "Spring Boot 경험, 대용량 트래픽 처리 경험 우대",
  "status": "DRAFT",
  "updatedAt": "2026-06-20T14:08:00"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71" t="inlineStr">
        <x:is>
          <x:t xml:space="preserve">body</x:t>
        </x:is>
      </x:c>
      <x:c r="B21" s="48" t="inlineStr">
        <x:is>
          <x:t xml:space="preserve">preferences</x:t>
        </x:is>
      </x:c>
      <x:c r="C21" s="48" t="inlineStr">
        <x:is>
          <x:t xml:space="preserve">string</x:t>
        </x:is>
      </x:c>
      <x:c r="D21" s="48" t="inlineStr">
        <x:is>
          <x:t xml:space="preserve">필수</x:t>
        </x:is>
      </x:c>
      <x:c r="E21" s="72" t="inlineStr">
        <x:is>
          <x:t xml:space="preserve">채용 우대사항 전체 텍스트; trim 후 1~3000자</x:t>
        </x:is>
      </x:c>
    </x:row>
    <x:row r="23" ht="24" customHeight="1">
      <x:c r="A23" s="113" t="inlineStr">
        <x:is>
          <x:t xml:space="preserve">응답 필드 설명</x:t>
        </x:is>
      </x:c>
      <x:c r="B23" s="106" t="n"/>
      <x:c r="C23" s="106" t="n"/>
      <x:c r="D23" s="106" t="n"/>
      <x:c r="E23" s="106" t="n"/>
      <x:c r="F23" s="106" t="n"/>
      <x:c r="G23" s="106" t="n"/>
      <x:c r="H23" s="106" t="n"/>
    </x:row>
    <x:row r="24">
      <x:c r="A24" s="9" t="inlineStr">
        <x:is>
          <x:t xml:space="preserve">필드 경로</x:t>
        </x:is>
      </x:c>
      <x:c r="B24" s="10" t="inlineStr">
        <x:is>
          <x:t xml:space="preserve">타입</x:t>
        </x:is>
      </x:c>
      <x:c r="C24" s="10" t="inlineStr">
        <x:is>
          <x:t xml:space="preserve">필수/nullable</x:t>
        </x:is>
      </x:c>
      <x:c r="D24" s="11" t="inlineStr">
        <x:is>
          <x:t xml:space="preserve">필드 의미</x:t>
        </x:is>
      </x:c>
    </x:row>
    <x:row r="25">
      <x:c r="A25" s="67" t="inlineStr">
        <x:is>
          <x:t xml:space="preserve">id</x:t>
        </x:is>
      </x:c>
      <x:c r="B25" s="46" t="inlineStr">
        <x:is>
          <x:t xml:space="preserve">string</x:t>
        </x:is>
      </x:c>
      <x:c r="C25" s="46" t="inlineStr">
        <x:is>
          <x:t xml:space="preserve">필수</x:t>
        </x:is>
      </x:c>
      <x:c r="D25" s="68" t="inlineStr">
        <x:is>
          <x:t xml:space="preserve">리소스 고유 ID</x:t>
        </x:is>
      </x:c>
    </x:row>
    <x:row r="26">
      <x:c r="A26" s="69" t="inlineStr">
        <x:is>
          <x:t xml:space="preserve">preferences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채용 우대사항 텍스트</x:t>
        </x:is>
      </x:c>
    </x:row>
    <x:row r="27">
      <x:c r="A27" s="69" t="inlineStr">
        <x:is>
          <x:t xml:space="preserve">status</x:t>
        </x:is>
      </x:c>
      <x:c r="B27" s="47" t="inlineStr">
        <x:is>
          <x:t xml:space="preserve">string</x:t>
        </x:is>
      </x:c>
      <x:c r="C27" s="47" t="inlineStr">
        <x:is>
          <x:t xml:space="preserve">필수</x:t>
        </x:is>
      </x:c>
      <x:c r="D27" s="70" t="inlineStr">
        <x:is>
          <x:t xml:space="preserve">현재 처리/리소스 상태; 고정값: DRAFT</x:t>
        </x:is>
      </x:c>
    </x:row>
    <x:row r="28">
      <x:c r="A28" s="71" t="inlineStr">
        <x:is>
          <x:t xml:space="preserve">updatedAt</x:t>
        </x:is>
      </x:c>
      <x:c r="B28" s="48" t="inlineStr">
        <x:is>
          <x:t xml:space="preserve">string</x:t>
        </x:is>
      </x:c>
      <x:c r="C28" s="48" t="inlineStr">
        <x:is>
          <x:t xml:space="preserve">필수</x:t>
        </x:is>
      </x:c>
      <x:c r="D28" s="72" t="inlineStr">
        <x:is>
          <x:t xml:space="preserve">최근 수정 일시</x:t>
        </x:is>
      </x:c>
    </x:row>
    <x:row r="30" ht="24" customHeight="1">
      <x:c r="A30" s="113" t="inlineStr">
        <x:is>
          <x:t xml:space="preserve">오류 응답</x:t>
        </x:is>
      </x:c>
      <x:c r="B30" s="106" t="n"/>
      <x:c r="C30" s="106" t="n"/>
      <x:c r="D30" s="106" t="n"/>
      <x:c r="E30" s="106" t="n"/>
      <x:c r="F30" s="106" t="n"/>
      <x:c r="G30" s="106" t="n"/>
      <x:c r="H30" s="106" t="n"/>
    </x:row>
    <x:row r="31">
      <x:c r="A31" s="9" t="inlineStr">
        <x:is>
          <x:t xml:space="preserve">HTTP 상태</x:t>
        </x:is>
      </x:c>
      <x:c r="B31" s="10" t="inlineStr">
        <x:is>
          <x:t xml:space="preserve">오류 코드</x:t>
        </x:is>
      </x:c>
      <x:c r="C31" s="10" t="inlineStr">
        <x:is>
          <x:t xml:space="preserve">발생 조건</x:t>
        </x:is>
      </x:c>
      <x:c r="D31" s="10" t="inlineStr">
        <x:is>
          <x:t xml:space="preserve">프론트 처리</x:t>
        </x:is>
      </x:c>
      <x:c r="E31" s="11" t="inlineStr">
        <x:is>
          <x:t xml:space="preserve">현재 상태</x:t>
        </x:is>
      </x:c>
    </x:row>
    <x:row r="32">
      <x:c r="A32" s="67" t="inlineStr">
        <x:is>
          <x:t xml:space="preserve">409 Conflict</x:t>
        </x:is>
      </x:c>
      <x:c r="B32" s="46" t="inlineStr">
        <x:is>
          <x:t xml:space="preserve">COVER_LETTER_NOT_DRAFT</x:t>
        </x:is>
      </x:c>
      <x:c r="C32" s="46" t="inlineStr">
        <x:is>
          <x:t xml:space="preserve">제출된 자기소개서의 원본 정보는 수정할 수 없습니다.</x:t>
        </x:is>
      </x:c>
      <x:c r="D32" s="46" t="inlineStr">
        <x:is>
          <x:t xml:space="preserve">수정 UI를 잠그고 최신 상태 재조회</x:t>
        </x:is>
      </x:c>
      <x:c r="E32" s="68" t="inlineStr">
        <x:is>
          <x:t xml:space="preserve">현재 구현</x:t>
        </x:is>
      </x:c>
    </x:row>
    <x:row r="33">
      <x:c r="A33" s="69" t="inlineStr">
        <x:is>
          <x:t xml:space="preserve">400 Bad Request</x:t>
        </x:is>
      </x:c>
      <x:c r="B33" s="47" t="inlineStr">
        <x:is>
          <x:t xml:space="preserve">VALIDATION_ERROR</x:t>
        </x:is>
      </x:c>
      <x:c r="C33" s="47" t="inlineStr">
        <x:is>
          <x:t xml:space="preserve">요청 값이 제약 조건을 위반함</x:t>
        </x:is>
      </x:c>
      <x:c r="D33" s="47" t="inlineStr">
        <x:is>
          <x:t xml:space="preserve">error.details의 field/reason을 입력 항목에 표시</x:t>
        </x:is>
      </x:c>
      <x:c r="E33" s="70" t="inlineStr">
        <x:is>
          <x:t xml:space="preserve">현재 구현</x:t>
        </x:is>
      </x:c>
    </x:row>
    <x:row r="34">
      <x:c r="A34" s="69" t="inlineStr">
        <x:is>
          <x:t xml:space="preserve">401 Unauthorized</x:t>
        </x:is>
      </x:c>
      <x:c r="B34" s="47" t="inlineStr">
        <x:is>
          <x:t xml:space="preserve">UNAUTHORIZED</x:t>
        </x:is>
      </x:c>
      <x:c r="C34" s="47" t="inlineStr">
        <x:is>
          <x:t xml:space="preserve">인증 쿠키가 없거나 유효하지 않음</x:t>
        </x:is>
      </x:c>
      <x:c r="D34" s="47" t="inlineStr">
        <x:is>
          <x:t xml:space="preserve">로그인 화면으로 이동</x:t>
        </x:is>
      </x:c>
      <x:c r="E34" s="70" t="inlineStr">
        <x:is>
          <x:t xml:space="preserve">계약 정의·인증 미구현</x:t>
        </x:is>
      </x:c>
    </x:row>
    <x:row r="35">
      <x:c r="A35" s="69" t="inlineStr">
        <x:is>
          <x:t xml:space="preserve">403 Forbidden</x:t>
        </x:is>
      </x:c>
      <x:c r="B35" s="47" t="inlineStr">
        <x:is>
          <x:t xml:space="preserve">CSRF_INVALID</x:t>
        </x:is>
      </x:c>
      <x:c r="C35" s="47" t="inlineStr">
        <x:is>
          <x:t xml:space="preserve">CSRF 토큰이 없거나 일치하지 않음</x:t>
        </x:is>
      </x:c>
      <x:c r="D35" s="47" t="inlineStr">
        <x:is>
          <x:t xml:space="preserve">토큰 갱신 후 1회 재시도</x:t>
        </x:is>
      </x:c>
      <x:c r="E35" s="70" t="inlineStr">
        <x:is>
          <x:t xml:space="preserve">계약 정의·CSRF 미구현</x:t>
        </x:is>
      </x:c>
    </x:row>
    <x:row r="36">
      <x:c r="A36" s="69" t="inlineStr">
        <x:is>
          <x:t xml:space="preserve">404 Not Found</x:t>
        </x:is>
      </x:c>
      <x:c r="B36" s="47" t="inlineStr">
        <x:is>
          <x:t xml:space="preserve">NOT_FOUND</x:t>
        </x:is>
      </x:c>
      <x:c r="C36" s="47" t="inlineStr">
        <x:is>
          <x:t xml:space="preserve">대상이 없거나 접근 권한이 없음</x:t>
        </x:is>
      </x:c>
      <x:c r="D36" s="47" t="inlineStr">
        <x:is>
          <x:t xml:space="preserve">목록으로 이동하거나 삭제 상태 반영</x:t>
        </x:is>
      </x:c>
      <x:c r="E36" s="70" t="inlineStr">
        <x:is>
          <x:t xml:space="preserve">현재 구현</x:t>
        </x:is>
      </x:c>
    </x:row>
    <x:row r="37">
      <x:c r="A37" s="71" t="inlineStr">
        <x:is>
          <x:t xml:space="preserve">500 Internal Server Error</x:t>
        </x:is>
      </x:c>
      <x:c r="B37" s="48" t="inlineStr">
        <x:is>
          <x:t xml:space="preserve">INTERNAL_ERROR</x:t>
        </x:is>
      </x:c>
      <x:c r="C37" s="48" t="inlineStr">
        <x:is>
          <x:t xml:space="preserve">예상하지 못한 서버 오류</x:t>
        </x:is>
      </x:c>
      <x:c r="D37" s="48" t="inlineStr">
        <x:is>
          <x:t xml:space="preserve">재시도 안내 후 지속 시 오류 정보 전달</x:t>
        </x:is>
      </x:c>
      <x:c r="E37" s="72" t="inlineStr">
        <x:is>
          <x:t xml:space="preserve">현재 구현</x:t>
        </x:is>
      </x:c>
    </x:row>
  </x:sheetData>
  <x:mergeCells>
    <x:mergeCell ref="A4:H4"/>
    <x:mergeCell ref="A30:H30"/>
    <x:mergeCell ref="A16:H16"/>
    <x:mergeCell ref="A10:H10"/>
    <x:mergeCell ref="B2:H2"/>
    <x:mergeCell ref="A11:H11"/>
    <x:mergeCell ref="A13:H13"/>
    <x:mergeCell ref="A14:H14"/>
    <x:mergeCell ref="A1:H1"/>
    <x:mergeCell ref="A23:H23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2b993c46a70e4540"/>
    <x:tablePart xmlns:r="http://schemas.openxmlformats.org/officeDocument/2006/relationships" r:id="Rba7d2980ffb4443c"/>
    <x:tablePart xmlns:r="http://schemas.openxmlformats.org/officeDocument/2006/relationships" r:id="R6fb13cd1a1554780"/>
  </x:tableParts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API-011  ·  등록 step3 저장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PUT /cover-letters/{coverLetterId}/questions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PUT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/cover-letters/{coverLetterId}/questions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등록 step3 저장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294" customHeight="1">
      <x:c r="A11" s="115" t="inlineStr">
        <x:is>
          <x:t xml:space="preserve">PUT /cover-letters/cl_01HZ.../questions HTTP/1.1
Accept: application/json
Cookie: access_token=&lt;access_token&gt;
X-CSRF-Token: &lt;csrf-token&gt;
Content-Type: application/json
{
  "questions": [
    {
      "question": "지원 동기를 작성해주세요.",
      "maxAnswerLength": 1000,
      "originalAnswer": "제가 지원한 이유는..."
    },
    {
      "question": "직무 관련 경험을 작성해주세요.",
      "maxAnswerLength": 1500,
      "originalAnswer": "저는 프로젝트에서..."
    }
  ]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238" customHeight="1">
      <x:c r="A14" s="115" t="inlineStr">
        <x:is>
          <x:t xml:space="preserve">HTTP/1.1 200 OK
Content-Type: application/json
{
  "coverLetterId": "cl_01HZ...",
  "questions": [
    {
      "id": "clq_01HZ...",
      "order": 1,
      "question": "지원 동기를 작성해주세요.",
      "maxAnswerLength": 1000,
      "originalAnswer": "제가 지원한 이유는..."
    }
  ],
  "updatedAt": "2026-06-20T14:10:00"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69" t="inlineStr">
        <x:is>
          <x:t xml:space="preserve">body</x:t>
        </x:is>
      </x:c>
      <x:c r="B21" s="47" t="inlineStr">
        <x:is>
          <x:t xml:space="preserve">questions</x:t>
        </x:is>
      </x:c>
      <x:c r="C21" s="47" t="inlineStr">
        <x:is>
          <x:t xml:space="preserve">array&lt;object&gt;</x:t>
        </x:is>
      </x:c>
      <x:c r="D21" s="47" t="inlineStr">
        <x:is>
          <x:t xml:space="preserve">필수</x:t>
        </x:is>
      </x:c>
      <x:c r="E21" s="70" t="inlineStr">
        <x:is>
          <x:t xml:space="preserve">저장할 전체 문항 목록; 1개 이상</x:t>
        </x:is>
      </x:c>
    </x:row>
    <x:row r="22">
      <x:c r="A22" s="69" t="inlineStr">
        <x:is>
          <x:t xml:space="preserve">body</x:t>
        </x:is>
      </x:c>
      <x:c r="B22" s="47" t="inlineStr">
        <x:is>
          <x:t xml:space="preserve">questions[].question</x:t>
        </x:is>
      </x:c>
      <x:c r="C22" s="47" t="inlineStr">
        <x:is>
          <x:t xml:space="preserve">string</x:t>
        </x:is>
      </x:c>
      <x:c r="D22" s="47" t="inlineStr">
        <x:is>
          <x:t xml:space="preserve">필수</x:t>
        </x:is>
      </x:c>
      <x:c r="E22" s="70" t="inlineStr">
        <x:is>
          <x:t xml:space="preserve">문항 내용; trim 후 1~300자</x:t>
        </x:is>
      </x:c>
    </x:row>
    <x:row r="23">
      <x:c r="A23" s="69" t="inlineStr">
        <x:is>
          <x:t xml:space="preserve">body</x:t>
        </x:is>
      </x:c>
      <x:c r="B23" s="47" t="inlineStr">
        <x:is>
          <x:t xml:space="preserve">questions[].maxAnswerLength</x:t>
        </x:is>
      </x:c>
      <x:c r="C23" s="47" t="inlineStr">
        <x:is>
          <x:t xml:space="preserve">integer</x:t>
        </x:is>
      </x:c>
      <x:c r="D23" s="47" t="inlineStr">
        <x:is>
          <x:t xml:space="preserve">필수</x:t>
        </x:is>
      </x:c>
      <x:c r="E23" s="70" t="inlineStr">
        <x:is>
          <x:t xml:space="preserve">문항 답변 최대 글자 수; 100~5000</x:t>
        </x:is>
      </x:c>
    </x:row>
    <x:row r="24">
      <x:c r="A24" s="71" t="inlineStr">
        <x:is>
          <x:t xml:space="preserve">body</x:t>
        </x:is>
      </x:c>
      <x:c r="B24" s="48" t="inlineStr">
        <x:is>
          <x:t xml:space="preserve">questions[].originalAnswer</x:t>
        </x:is>
      </x:c>
      <x:c r="C24" s="48" t="inlineStr">
        <x:is>
          <x:t xml:space="preserve">string</x:t>
        </x:is>
      </x:c>
      <x:c r="D24" s="48" t="inlineStr">
        <x:is>
          <x:t xml:space="preserve">필수</x:t>
        </x:is>
      </x:c>
      <x:c r="E24" s="72" t="inlineStr">
        <x:is>
          <x:t xml:space="preserve">원본 답변; trim 후 1~5000자</x:t>
        </x:is>
      </x:c>
    </x:row>
    <x:row r="26" ht="24" customHeight="1">
      <x:c r="A26" s="113" t="inlineStr">
        <x:is>
          <x:t xml:space="preserve">응답 필드 설명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필드 경로</x:t>
        </x:is>
      </x:c>
      <x:c r="B27" s="10" t="inlineStr">
        <x:is>
          <x:t xml:space="preserve">타입</x:t>
        </x:is>
      </x:c>
      <x:c r="C27" s="10" t="inlineStr">
        <x:is>
          <x:t xml:space="preserve">필수/nullable</x:t>
        </x:is>
      </x:c>
      <x:c r="D27" s="11" t="inlineStr">
        <x:is>
          <x:t xml:space="preserve">필드 의미</x:t>
        </x:is>
      </x:c>
    </x:row>
    <x:row r="28">
      <x:c r="A28" s="67" t="inlineStr">
        <x:is>
          <x:t xml:space="preserve">coverLetterId</x:t>
        </x:is>
      </x:c>
      <x:c r="B28" s="46" t="inlineStr">
        <x:is>
          <x:t xml:space="preserve">string</x:t>
        </x:is>
      </x:c>
      <x:c r="C28" s="46" t="inlineStr">
        <x:is>
          <x:t xml:space="preserve">필수</x:t>
        </x:is>
      </x:c>
      <x:c r="D28" s="68" t="inlineStr">
        <x:is>
          <x:t xml:space="preserve">자기소개서 ID</x:t>
        </x:is>
      </x:c>
    </x:row>
    <x:row r="29">
      <x:c r="A29" s="69" t="inlineStr">
        <x:is>
          <x:t xml:space="preserve">questions</x:t>
        </x:is>
      </x:c>
      <x:c r="B29" s="47" t="inlineStr">
        <x:is>
          <x:t xml:space="preserve">array</x:t>
        </x:is>
      </x:c>
      <x:c r="C29" s="47" t="inlineStr">
        <x:is>
          <x:t xml:space="preserve">필수</x:t>
        </x:is>
      </x:c>
      <x:c r="D29" s="70" t="inlineStr">
        <x:is>
          <x:t xml:space="preserve">questions 값</x:t>
        </x:is>
      </x:c>
    </x:row>
    <x:row r="30">
      <x:c r="A30" s="69" t="inlineStr">
        <x:is>
          <x:t xml:space="preserve">questions[].id</x:t>
        </x:is>
      </x:c>
      <x:c r="B30" s="47" t="inlineStr">
        <x:is>
          <x:t xml:space="preserve">string</x:t>
        </x:is>
      </x:c>
      <x:c r="C30" s="47" t="inlineStr">
        <x:is>
          <x:t xml:space="preserve">필수</x:t>
        </x:is>
      </x:c>
      <x:c r="D30" s="70" t="inlineStr">
        <x:is>
          <x:t xml:space="preserve">리소스 고유 ID</x:t>
        </x:is>
      </x:c>
    </x:row>
    <x:row r="31">
      <x:c r="A31" s="69" t="inlineStr">
        <x:is>
          <x:t xml:space="preserve">questions[].order</x:t>
        </x:is>
      </x:c>
      <x:c r="B31" s="47" t="inlineStr">
        <x:is>
          <x:t xml:space="preserve">integer</x:t>
        </x:is>
      </x:c>
      <x:c r="C31" s="47" t="inlineStr">
        <x:is>
          <x:t xml:space="preserve">필수</x:t>
        </x:is>
      </x:c>
      <x:c r="D31" s="70" t="inlineStr">
        <x:is>
          <x:t xml:space="preserve">표시/저장 순서</x:t>
        </x:is>
      </x:c>
    </x:row>
    <x:row r="32">
      <x:c r="A32" s="69" t="inlineStr">
        <x:is>
          <x:t xml:space="preserve">questions[].question</x:t>
        </x:is>
      </x:c>
      <x:c r="B32" s="47" t="inlineStr">
        <x:is>
          <x:t xml:space="preserve">string</x:t>
        </x:is>
      </x:c>
      <x:c r="C32" s="47" t="inlineStr">
        <x:is>
          <x:t xml:space="preserve">필수</x:t>
        </x:is>
      </x:c>
      <x:c r="D32" s="70" t="inlineStr">
        <x:is>
          <x:t xml:space="preserve">자기소개서 또는 면접 질문</x:t>
        </x:is>
      </x:c>
    </x:row>
    <x:row r="33">
      <x:c r="A33" s="69" t="inlineStr">
        <x:is>
          <x:t xml:space="preserve">questions[].maxAnswerLength</x:t>
        </x:is>
      </x:c>
      <x:c r="B33" s="47" t="inlineStr">
        <x:is>
          <x:t xml:space="preserve">integer</x:t>
        </x:is>
      </x:c>
      <x:c r="C33" s="47" t="inlineStr">
        <x:is>
          <x:t xml:space="preserve">필수</x:t>
        </x:is>
      </x:c>
      <x:c r="D33" s="70" t="inlineStr">
        <x:is>
          <x:t xml:space="preserve">허용된 최대 답변 길이</x:t>
        </x:is>
      </x:c>
    </x:row>
    <x:row r="34">
      <x:c r="A34" s="69" t="inlineStr">
        <x:is>
          <x:t xml:space="preserve">questions[].originalAnswer</x:t>
        </x:is>
      </x:c>
      <x:c r="B34" s="47" t="inlineStr">
        <x:is>
          <x:t xml:space="preserve">string</x:t>
        </x:is>
      </x:c>
      <x:c r="C34" s="47" t="inlineStr">
        <x:is>
          <x:t xml:space="preserve">필수</x:t>
        </x:is>
      </x:c>
      <x:c r="D34" s="70" t="inlineStr">
        <x:is>
          <x:t xml:space="preserve">원본 답변</x:t>
        </x:is>
      </x:c>
    </x:row>
    <x:row r="35">
      <x:c r="A35" s="71" t="inlineStr">
        <x:is>
          <x:t xml:space="preserve">updatedAt</x:t>
        </x:is>
      </x:c>
      <x:c r="B35" s="48" t="inlineStr">
        <x:is>
          <x:t xml:space="preserve">string</x:t>
        </x:is>
      </x:c>
      <x:c r="C35" s="48" t="inlineStr">
        <x:is>
          <x:t xml:space="preserve">필수</x:t>
        </x:is>
      </x:c>
      <x:c r="D35" s="72" t="inlineStr">
        <x:is>
          <x:t xml:space="preserve">최근 수정 일시</x:t>
        </x:is>
      </x:c>
    </x:row>
    <x:row r="37" ht="24" customHeight="1">
      <x:c r="A37" s="113" t="inlineStr">
        <x:is>
          <x:t xml:space="preserve">오류 응답</x:t>
        </x:is>
      </x:c>
      <x:c r="B37" s="106" t="n"/>
      <x:c r="C37" s="106" t="n"/>
      <x:c r="D37" s="106" t="n"/>
      <x:c r="E37" s="106" t="n"/>
      <x:c r="F37" s="106" t="n"/>
      <x:c r="G37" s="106" t="n"/>
      <x:c r="H37" s="106" t="n"/>
    </x:row>
    <x:row r="38">
      <x:c r="A38" s="9" t="inlineStr">
        <x:is>
          <x:t xml:space="preserve">HTTP 상태</x:t>
        </x:is>
      </x:c>
      <x:c r="B38" s="10" t="inlineStr">
        <x:is>
          <x:t xml:space="preserve">오류 코드</x:t>
        </x:is>
      </x:c>
      <x:c r="C38" s="10" t="inlineStr">
        <x:is>
          <x:t xml:space="preserve">발생 조건</x:t>
        </x:is>
      </x:c>
      <x:c r="D38" s="10" t="inlineStr">
        <x:is>
          <x:t xml:space="preserve">프론트 처리</x:t>
        </x:is>
      </x:c>
      <x:c r="E38" s="11" t="inlineStr">
        <x:is>
          <x:t xml:space="preserve">현재 상태</x:t>
        </x:is>
      </x:c>
    </x:row>
    <x:row r="39">
      <x:c r="A39" s="67" t="inlineStr">
        <x:is>
          <x:t xml:space="preserve">400 Bad Request</x:t>
        </x:is>
      </x:c>
      <x:c r="B39" s="46" t="inlineStr">
        <x:is>
          <x:t xml:space="preserve">VALIDATION_ERROR</x:t>
        </x:is>
      </x:c>
      <x:c r="C39" s="46" t="inlineStr">
        <x:is>
          <x:t xml:space="preserve">요청 값이 올바르지 않습니다.</x:t>
        </x:is>
      </x:c>
      <x:c r="D39" s="46" t="inlineStr">
        <x:is>
          <x:t xml:space="preserve">error.details의 field/reason을 입력 항목에 표시</x:t>
        </x:is>
      </x:c>
      <x:c r="E39" s="68" t="inlineStr">
        <x:is>
          <x:t xml:space="preserve">현재 구현</x:t>
        </x:is>
      </x:c>
    </x:row>
    <x:row r="40">
      <x:c r="A40" s="69" t="inlineStr">
        <x:is>
          <x:t xml:space="preserve">409 Conflict</x:t>
        </x:is>
      </x:c>
      <x:c r="B40" s="47" t="inlineStr">
        <x:is>
          <x:t xml:space="preserve">COVER_LETTER_NOT_DRAFT</x:t>
        </x:is>
      </x:c>
      <x:c r="C40" s="47" t="inlineStr">
        <x:is>
          <x:t xml:space="preserve">제출 이후에는 원본 자기소개서를 수정할 수 없습니다.</x:t>
        </x:is>
      </x:c>
      <x:c r="D40" s="47" t="inlineStr">
        <x:is>
          <x:t xml:space="preserve">수정 UI를 잠그고 최신 상태 재조회</x:t>
        </x:is>
      </x:c>
      <x:c r="E40" s="70" t="inlineStr">
        <x:is>
          <x:t xml:space="preserve">현재 구현</x:t>
        </x:is>
      </x:c>
    </x:row>
    <x:row r="41">
      <x:c r="A41" s="69" t="inlineStr">
        <x:is>
          <x:t xml:space="preserve">401 Unauthorized</x:t>
        </x:is>
      </x:c>
      <x:c r="B41" s="47" t="inlineStr">
        <x:is>
          <x:t xml:space="preserve">UNAUTHORIZED</x:t>
        </x:is>
      </x:c>
      <x:c r="C41" s="47" t="inlineStr">
        <x:is>
          <x:t xml:space="preserve">인증 쿠키가 없거나 유효하지 않음</x:t>
        </x:is>
      </x:c>
      <x:c r="D41" s="47" t="inlineStr">
        <x:is>
          <x:t xml:space="preserve">로그인 화면으로 이동</x:t>
        </x:is>
      </x:c>
      <x:c r="E41" s="70" t="inlineStr">
        <x:is>
          <x:t xml:space="preserve">계약 정의·인증 미구현</x:t>
        </x:is>
      </x:c>
    </x:row>
    <x:row r="42">
      <x:c r="A42" s="69" t="inlineStr">
        <x:is>
          <x:t xml:space="preserve">403 Forbidden</x:t>
        </x:is>
      </x:c>
      <x:c r="B42" s="47" t="inlineStr">
        <x:is>
          <x:t xml:space="preserve">CSRF_INVALID</x:t>
        </x:is>
      </x:c>
      <x:c r="C42" s="47" t="inlineStr">
        <x:is>
          <x:t xml:space="preserve">CSRF 토큰이 없거나 일치하지 않음</x:t>
        </x:is>
      </x:c>
      <x:c r="D42" s="47" t="inlineStr">
        <x:is>
          <x:t xml:space="preserve">토큰 갱신 후 1회 재시도</x:t>
        </x:is>
      </x:c>
      <x:c r="E42" s="70" t="inlineStr">
        <x:is>
          <x:t xml:space="preserve">계약 정의·CSRF 미구현</x:t>
        </x:is>
      </x:c>
    </x:row>
    <x:row r="43">
      <x:c r="A43" s="69" t="inlineStr">
        <x:is>
          <x:t xml:space="preserve">404 Not Found</x:t>
        </x:is>
      </x:c>
      <x:c r="B43" s="47" t="inlineStr">
        <x:is>
          <x:t xml:space="preserve">NOT_FOUND</x:t>
        </x:is>
      </x:c>
      <x:c r="C43" s="47" t="inlineStr">
        <x:is>
          <x:t xml:space="preserve">대상이 없거나 접근 권한이 없음</x:t>
        </x:is>
      </x:c>
      <x:c r="D43" s="47" t="inlineStr">
        <x:is>
          <x:t xml:space="preserve">목록으로 이동하거나 삭제 상태 반영</x:t>
        </x:is>
      </x:c>
      <x:c r="E43" s="70" t="inlineStr">
        <x:is>
          <x:t xml:space="preserve">현재 구현</x:t>
        </x:is>
      </x:c>
    </x:row>
    <x:row r="44">
      <x:c r="A44" s="71" t="inlineStr">
        <x:is>
          <x:t xml:space="preserve">500 Internal Server Error</x:t>
        </x:is>
      </x:c>
      <x:c r="B44" s="48" t="inlineStr">
        <x:is>
          <x:t xml:space="preserve">INTERNAL_ERROR</x:t>
        </x:is>
      </x:c>
      <x:c r="C44" s="48" t="inlineStr">
        <x:is>
          <x:t xml:space="preserve">예상하지 못한 서버 오류</x:t>
        </x:is>
      </x:c>
      <x:c r="D44" s="48" t="inlineStr">
        <x:is>
          <x:t xml:space="preserve">재시도 안내 후 지속 시 오류 정보 전달</x:t>
        </x:is>
      </x:c>
      <x:c r="E44" s="72" t="inlineStr">
        <x:is>
          <x:t xml:space="preserve">현재 구현</x:t>
        </x:is>
      </x:c>
    </x:row>
  </x:sheetData>
  <x:mergeCells>
    <x:mergeCell ref="A4:H4"/>
    <x:mergeCell ref="A26:H26"/>
    <x:mergeCell ref="A16:H16"/>
    <x:mergeCell ref="A10:H10"/>
    <x:mergeCell ref="B2:H2"/>
    <x:mergeCell ref="A11:H11"/>
    <x:mergeCell ref="A13:H13"/>
    <x:mergeCell ref="A14:H14"/>
    <x:mergeCell ref="A1:H1"/>
    <x:mergeCell ref="A37:H37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d26146bc179c46ec"/>
    <x:tablePart xmlns:r="http://schemas.openxmlformats.org/officeDocument/2006/relationships" r:id="R545ce42c7eb2443d"/>
    <x:tablePart xmlns:r="http://schemas.openxmlformats.org/officeDocument/2006/relationships" r:id="Ra3ea3e5a90b5436d"/>
  </x:tableParts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API-012 · 상태 공통 자기소개서 상세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/cover-letters/{coverLetterId}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/cover-letters/{coverLetterId}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미구현·호출 금지</x:v>
      </x:c>
    </x:row>
    <x:row r="6" ht="22.5" customHeight="1">
      <x:c r="A6" s="213" t="str">
        <x:v>기능</x:v>
      </x:c>
      <x:c r="B6" s="177" t="str">
        <x:v>상태 공통 자기소개서 상세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미구현·호출 금지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2.5" customHeight="1">
      <x:c r="A11" s="221" t="str">
        <x:v>GET /cover-letters/cl_01HZ... HTTP/1.1
Accept: application/json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280.5" customHeight="1">
      <x:c r="A14" s="221" t="str">
        <x:v>HTTP/1.1 200 OK
Content-Type: application/json
{
  "coverLetter": {
    "id": "cl_01HZ...", "title": "2026 상반기 백엔드 개발자 자기소개서",
    "companyName": "Rewrite Corp", "positionTitle": "백엔드 개발자",
    "jobPostingUrl": "https://example.com/jobs/1",
    "preferences": "Spring Boot 경험", "status": "REVIEWING"
  },
  "reviewVersion": null,
  "reviewJob": {
    "jobId": "job_01HZ...", "type": "COVER_LETTER_REVIEW", "status": "PROCESSING",
    "progress": {"current": 1, "total": 2, "message": "1개 문항의 첨삭이 완료되었습니다."}
  },
  "questions": [{
    "questionResultId": null, "questionId": "clq_01HZ...", "order": 1,
    "question": "지원 동기를 작성해주세요.", "maxAnswerLength": 1000,
    "originalAnswer": "제가 지원한 이유는...", "originalAnswerLength": 530,
    "aiReport": "직무 경험과의 연결을 보강하세요.",
    "rewrittenAnswer": "저는 백엔드 개발자로서...", "rewrittenAnswerLength": 820,
    "finalAnswer": "저는 백엔드 개발자로서...", "finalAnswerLength": 820
  }]
}</x:v>
      </x:c>
      <x:c r="B14" s="222"/>
      <x:c r="C14" s="222"/>
      <x:c r="D14" s="222"/>
      <x:c r="E14" s="222"/>
      <x:c r="F14" s="222"/>
      <x:c r="G14" s="222"/>
      <x:c r="H14" s="223"/>
    </x:row>
    <x:row r="15" ht="56" customHeight="1">
      <x:c r="A15"/>
      <x:c r="B15"/>
      <x:c r="C15"/>
      <x:c r="D15"/>
      <x:c r="E15"/>
      <x:c r="F15"/>
      <x:c r="G15"/>
      <x:c r="H15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coverLetterId</x:v>
      </x:c>
      <x:c r="C18" s="233" t="str">
        <x:v>string</x:v>
      </x:c>
      <x:c r="D18" s="233" t="str">
        <x:v>필수</x:v>
      </x:c>
      <x:c r="E18" s="233" t="str">
        <x:v>자기소개서 ID</x:v>
      </x:c>
      <x:c r="F18" s="233"/>
      <x:c r="G18" s="233"/>
      <x:c r="H18" s="233"/>
    </x:row>
    <x:row r="19" ht="18" customHeight="1">
      <x:c r="A19" s="233" t="str">
        <x:v>cookie</x:v>
      </x:c>
      <x:c r="B19" s="233" t="str">
        <x:v>access_token</x:v>
      </x:c>
      <x:c r="C19" s="233" t="str">
        <x:v>string</x:v>
      </x:c>
      <x:c r="D19" s="233" t="str">
        <x:v>계약상 필수</x:v>
      </x:c>
      <x:c r="E19" s="233" t="str">
        <x:v>현재 사용자 인증 cookie (인증 미구현)</x:v>
      </x:c>
      <x:c r="F19" s="233"/>
      <x:c r="G19" s="233"/>
      <x:c r="H19" s="233"/>
    </x:row>
    <x:row r="20">
      <x:c r="A20"/>
      <x:c r="B20"/>
      <x:c r="C20"/>
      <x:c r="D20"/>
      <x:c r="E20"/>
    </x:row>
    <x:row r="21" ht="19.5" customHeight="1">
      <x:c r="A21" s="208" t="str">
        <x:v>응답 필드 설명</x:v>
      </x:c>
      <x:c r="B21" s="208"/>
      <x:c r="C21" s="208"/>
      <x:c r="D21" s="208"/>
      <x:c r="E21" s="208"/>
      <x:c r="F21" s="208"/>
      <x:c r="G21" s="208"/>
      <x:c r="H21" s="208"/>
    </x:row>
    <x:row r="22" ht="18" customHeight="1">
      <x:c r="A22" s="228" t="str">
        <x:v>위치</x:v>
      </x:c>
      <x:c r="B22" s="228" t="str">
        <x:v>필드 경로</x:v>
      </x:c>
      <x:c r="C22" s="228" t="str">
        <x:v>타입</x:v>
      </x:c>
      <x:c r="D22" s="228" t="str">
        <x:v>필수 여부</x:v>
      </x:c>
      <x:c r="E22" s="228" t="str">
        <x:v>의미·제약</x:v>
      </x:c>
      <x:c r="F22" s="228"/>
      <x:c r="G22" s="228"/>
      <x:c r="H22" s="228"/>
    </x:row>
    <x:row r="23" ht="18" customHeight="1">
      <x:c r="A23" s="233" t="str">
        <x:v>body</x:v>
      </x:c>
      <x:c r="B23" s="233" t="str">
        <x:v>coverLetter</x:v>
      </x:c>
      <x:c r="C23" s="233" t="str">
        <x:v>object</x:v>
      </x:c>
      <x:c r="D23" s="233" t="str">
        <x:v>필수</x:v>
      </x:c>
      <x:c r="E23" s="233" t="str">
        <x:v>화면 상단 자기소개서 요약</x:v>
      </x:c>
      <x:c r="F23" s="233"/>
      <x:c r="G23" s="233"/>
      <x:c r="H23" s="233"/>
    </x:row>
    <x:row r="24" ht="18" customHeight="1">
      <x:c r="A24" s="233" t="str">
        <x:v>body</x:v>
      </x:c>
      <x:c r="B24" s="233" t="str">
        <x:v>coverLetter.id</x:v>
      </x:c>
      <x:c r="C24" s="233" t="str">
        <x:v>string</x:v>
      </x:c>
      <x:c r="D24" s="233" t="str">
        <x:v>필수</x:v>
      </x:c>
      <x:c r="E24" s="233" t="str">
        <x:v>자기소개서 ID</x:v>
      </x:c>
      <x:c r="F24" s="233"/>
      <x:c r="G24" s="233"/>
      <x:c r="H24" s="233"/>
    </x:row>
    <x:row r="25" ht="18" customHeight="1">
      <x:c r="A25" s="233" t="str">
        <x:v>body</x:v>
      </x:c>
      <x:c r="B25" s="233" t="str">
        <x:v>coverLetter.title</x:v>
      </x:c>
      <x:c r="C25" s="233" t="str">
        <x:v>string</x:v>
      </x:c>
      <x:c r="D25" s="233" t="str">
        <x:v>조건부/nullable</x:v>
      </x:c>
      <x:c r="E25" s="233" t="str">
        <x:v>자기소개서 제목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coverLetter.companyName</x:v>
      </x:c>
      <x:c r="C26" s="233" t="str">
        <x:v>string</x:v>
      </x:c>
      <x:c r="D26" s="233" t="str">
        <x:v>조건부/nullable</x:v>
      </x:c>
      <x:c r="E26" s="233" t="str">
        <x:v>지원 회사명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coverLetter.positionTitle</x:v>
      </x:c>
      <x:c r="C27" s="233" t="str">
        <x:v>string</x:v>
      </x:c>
      <x:c r="D27" s="233" t="str">
        <x:v>조건부/nullable</x:v>
      </x:c>
      <x:c r="E27" s="233" t="str">
        <x:v>지원 직무명</x:v>
      </x:c>
      <x:c r="F27" s="233"/>
      <x:c r="G27" s="233"/>
      <x:c r="H27" s="233"/>
    </x:row>
    <x:row r="28" ht="18" customHeight="1">
      <x:c r="A28" s="233" t="str">
        <x:v>body</x:v>
      </x:c>
      <x:c r="B28" s="233" t="str">
        <x:v>coverLetter.jobPostingUrl</x:v>
      </x:c>
      <x:c r="C28" s="233" t="str">
        <x:v>string</x:v>
      </x:c>
      <x:c r="D28" s="233" t="str">
        <x:v>조건부/nullable</x:v>
      </x:c>
      <x:c r="E28" s="233" t="str">
        <x:v>채용 공고 URL</x:v>
      </x:c>
      <x:c r="F28" s="233"/>
      <x:c r="G28" s="233"/>
      <x:c r="H28" s="233"/>
    </x:row>
    <x:row r="29" ht="18" customHeight="1">
      <x:c r="A29" s="233" t="str">
        <x:v>body</x:v>
      </x:c>
      <x:c r="B29" s="233" t="str">
        <x:v>coverLetter.preferences</x:v>
      </x:c>
      <x:c r="C29" s="233" t="str">
        <x:v>string</x:v>
      </x:c>
      <x:c r="D29" s="233" t="str">
        <x:v>조건부/nullable</x:v>
      </x:c>
      <x:c r="E29" s="233" t="str">
        <x:v>채용 우대사항</x:v>
      </x:c>
      <x:c r="F29" s="233"/>
      <x:c r="G29" s="233"/>
      <x:c r="H29" s="233"/>
    </x:row>
    <x:row r="30" ht="22.5" customHeight="1">
      <x:c r="A30" s="233" t="str">
        <x:v>body</x:v>
      </x:c>
      <x:c r="B30" s="233" t="str">
        <x:v>coverLetter.status</x:v>
      </x:c>
      <x:c r="C30" s="233" t="str">
        <x:v>string</x:v>
      </x:c>
      <x:c r="D30" s="233" t="str">
        <x:v>필수</x:v>
      </x:c>
      <x:c r="E30" s="233" t="str">
        <x:v>DRAFT | REVIEWING | REVIEW_FAILED | REVIEWED</x:v>
      </x:c>
      <x:c r="F30" s="233"/>
      <x:c r="G30" s="233"/>
      <x:c r="H30" s="233"/>
    </x:row>
    <x:row r="31" ht="18" customHeight="1">
      <x:c r="A31" s="233" t="str">
        <x:v>body</x:v>
      </x:c>
      <x:c r="B31" s="233" t="str">
        <x:v>reviewVersion</x:v>
      </x:c>
      <x:c r="C31" s="233" t="str">
        <x:v>object</x:v>
      </x:c>
      <x:c r="D31" s="233" t="str">
        <x:v>nullable</x:v>
      </x:c>
      <x:c r="E31" s="233" t="str">
        <x:v>확정 첨삭 버전 요약. 진행/실패/DRAFT 또는 재첨삭 진행 중 null</x:v>
      </x:c>
      <x:c r="F31" s="233"/>
      <x:c r="G31" s="233"/>
      <x:c r="H31" s="233"/>
    </x:row>
    <x:row r="32" ht="18" customHeight="1">
      <x:c r="A32" s="233" t="str">
        <x:v>body</x:v>
      </x:c>
      <x:c r="B32" s="233" t="str">
        <x:v>reviewVersion.id</x:v>
      </x:c>
      <x:c r="C32" s="233" t="str">
        <x:v>string</x:v>
      </x:c>
      <x:c r="D32" s="233" t="str">
        <x:v>조건부</x:v>
      </x:c>
      <x:c r="E32" s="233" t="str">
        <x:v>첨삭 버전 ID</x:v>
      </x:c>
      <x:c r="F32" s="233"/>
      <x:c r="G32" s="233"/>
      <x:c r="H32" s="233"/>
    </x:row>
    <x:row r="33" ht="18" customHeight="1">
      <x:c r="A33" s="233" t="str">
        <x:v>body</x:v>
      </x:c>
      <x:c r="B33" s="233" t="str">
        <x:v>reviewVersion.version</x:v>
      </x:c>
      <x:c r="C33" s="233" t="str">
        <x:v>string</x:v>
      </x:c>
      <x:c r="D33" s="233" t="str">
        <x:v>조건부</x:v>
      </x:c>
      <x:c r="E33" s="233" t="str">
        <x:v>v0.1 형식 버전 label</x:v>
      </x:c>
      <x:c r="F33" s="233"/>
      <x:c r="G33" s="233"/>
      <x:c r="H33" s="233"/>
    </x:row>
    <x:row r="34" ht="18" customHeight="1">
      <x:c r="A34" s="233" t="str">
        <x:v>body</x:v>
      </x:c>
      <x:c r="B34" s="233" t="str">
        <x:v>reviewVersion.isLatest</x:v>
      </x:c>
      <x:c r="C34" s="233" t="str">
        <x:v>boolean</x:v>
      </x:c>
      <x:c r="D34" s="233" t="str">
        <x:v>조건부</x:v>
      </x:c>
      <x:c r="E34" s="233" t="str">
        <x:v>현재 최신 버전 여부</x:v>
      </x:c>
      <x:c r="F34" s="233"/>
      <x:c r="G34" s="233"/>
      <x:c r="H34" s="233"/>
    </x:row>
    <x:row r="35" ht="18" customHeight="1">
      <x:c r="A35" s="233" t="str">
        <x:v>body</x:v>
      </x:c>
      <x:c r="B35" s="233" t="str">
        <x:v>reviewVersion.requestInstruction</x:v>
      </x:c>
      <x:c r="C35" s="233" t="str">
        <x:v>string</x:v>
      </x:c>
      <x:c r="D35" s="233" t="str">
        <x:v>nullable</x:v>
      </x:c>
      <x:c r="E35" s="233" t="str">
        <x:v>재첨삭 요구사항. 최초 첨삭은 null</x:v>
      </x:c>
      <x:c r="F35" s="233"/>
      <x:c r="G35" s="233"/>
      <x:c r="H35" s="233"/>
    </x:row>
    <x:row r="36" ht="18" customHeight="1">
      <x:c r="A36" s="233" t="str">
        <x:v>body</x:v>
      </x:c>
      <x:c r="B36" s="233" t="str">
        <x:v>reviewVersion.createdAt</x:v>
      </x:c>
      <x:c r="C36" s="233" t="str">
        <x:v>string</x:v>
      </x:c>
      <x:c r="D36" s="233" t="str">
        <x:v>조건부</x:v>
      </x:c>
      <x:c r="E36" s="233" t="str">
        <x:v>Asia/Seoul LocalDateTime</x:v>
      </x:c>
      <x:c r="F36" s="233"/>
      <x:c r="G36" s="233"/>
      <x:c r="H36" s="233"/>
    </x:row>
    <x:row r="37" ht="18" customHeight="1">
      <x:c r="A37" s="233" t="str">
        <x:v>body</x:v>
      </x:c>
      <x:c r="B37" s="233" t="str">
        <x:v>reviewJob</x:v>
      </x:c>
      <x:c r="C37" s="233" t="str">
        <x:v>object</x:v>
      </x:c>
      <x:c r="D37" s="233" t="str">
        <x:v>nullable</x:v>
      </x:c>
      <x:c r="E37" s="233" t="str">
        <x:v>현재 최초/재첨삭 진행 Job. 진행 중이 아니면 null</x:v>
      </x:c>
      <x:c r="F37" s="233"/>
      <x:c r="G37" s="233"/>
      <x:c r="H37" s="233"/>
    </x:row>
    <x:row r="38" ht="18" customHeight="1">
      <x:c r="A38" s="233" t="str">
        <x:v>body</x:v>
      </x:c>
      <x:c r="B38" s="233" t="str">
        <x:v>reviewJob.jobId</x:v>
      </x:c>
      <x:c r="C38" s="233" t="str">
        <x:v>string</x:v>
      </x:c>
      <x:c r="D38" s="233" t="str">
        <x:v>조건부</x:v>
      </x:c>
      <x:c r="E38" s="233" t="str">
        <x:v>API-016 연결에 사용할 Job ID</x:v>
      </x:c>
      <x:c r="F38" s="233"/>
      <x:c r="G38" s="233"/>
      <x:c r="H38" s="233"/>
    </x:row>
    <x:row r="39" ht="22.5" customHeight="1">
      <x:c r="A39" s="233" t="str">
        <x:v>body</x:v>
      </x:c>
      <x:c r="B39" s="233" t="str">
        <x:v>reviewJob.type</x:v>
      </x:c>
      <x:c r="C39" s="233" t="str">
        <x:v>string</x:v>
      </x:c>
      <x:c r="D39" s="233" t="str">
        <x:v>조건부</x:v>
      </x:c>
      <x:c r="E39" s="233" t="str">
        <x:v>COVER_LETTER_REVIEW | COVER_LETTER_RE_REVIEW</x:v>
      </x:c>
      <x:c r="F39" s="233"/>
      <x:c r="G39" s="233"/>
      <x:c r="H39" s="233"/>
    </x:row>
    <x:row r="40" ht="18" customHeight="1">
      <x:c r="A40" s="233" t="str">
        <x:v>body</x:v>
      </x:c>
      <x:c r="B40" s="233" t="str">
        <x:v>reviewJob.status</x:v>
      </x:c>
      <x:c r="C40" s="233" t="str">
        <x:v>string</x:v>
      </x:c>
      <x:c r="D40" s="233" t="str">
        <x:v>조건부</x:v>
      </x:c>
      <x:c r="E40" s="233" t="str">
        <x:v>PENDING | PROCESSING</x:v>
      </x:c>
      <x:c r="F40" s="233"/>
      <x:c r="G40" s="233"/>
      <x:c r="H40" s="233"/>
    </x:row>
    <x:row r="41" ht="18" customHeight="1">
      <x:c r="A41" s="233" t="str">
        <x:v>body</x:v>
      </x:c>
      <x:c r="B41" s="233" t="str">
        <x:v>reviewJob.progress</x:v>
      </x:c>
      <x:c r="C41" s="233" t="str">
        <x:v>object</x:v>
      </x:c>
      <x:c r="D41" s="233" t="str">
        <x:v>조건부</x:v>
      </x:c>
      <x:c r="E41" s="233" t="str">
        <x:v>문항 완료 진행률</x:v>
      </x:c>
      <x:c r="F41" s="233"/>
      <x:c r="G41" s="233"/>
      <x:c r="H41" s="233"/>
    </x:row>
    <x:row r="42" ht="18" customHeight="1">
      <x:c r="A42" s="233" t="str">
        <x:v>body</x:v>
      </x:c>
      <x:c r="B42" s="233" t="str">
        <x:v>reviewJob.progress.current</x:v>
      </x:c>
      <x:c r="C42" s="233" t="str">
        <x:v>integer</x:v>
      </x:c>
      <x:c r="D42" s="233" t="str">
        <x:v>조건부</x:v>
      </x:c>
      <x:c r="E42" s="233" t="str">
        <x:v>완료 문항 수</x:v>
      </x:c>
      <x:c r="F42" s="233"/>
      <x:c r="G42" s="233"/>
      <x:c r="H42" s="233"/>
    </x:row>
    <x:row r="43" ht="18" customHeight="1">
      <x:c r="A43" s="233" t="str">
        <x:v>body</x:v>
      </x:c>
      <x:c r="B43" s="233" t="str">
        <x:v>reviewJob.progress.total</x:v>
      </x:c>
      <x:c r="C43" s="233" t="str">
        <x:v>integer</x:v>
      </x:c>
      <x:c r="D43" s="233" t="str">
        <x:v>조건부</x:v>
      </x:c>
      <x:c r="E43" s="233" t="str">
        <x:v>전체 문항 수</x:v>
      </x:c>
      <x:c r="F43" s="233"/>
      <x:c r="G43" s="233"/>
      <x:c r="H43" s="233"/>
    </x:row>
    <x:row r="44" ht="18" customHeight="1">
      <x:c r="A44" s="233" t="str">
        <x:v>body</x:v>
      </x:c>
      <x:c r="B44" s="233" t="str">
        <x:v>reviewJob.progress.message</x:v>
      </x:c>
      <x:c r="C44" s="233" t="str">
        <x:v>string</x:v>
      </x:c>
      <x:c r="D44" s="233" t="str">
        <x:v>nullable</x:v>
      </x:c>
      <x:c r="E44" s="233" t="str">
        <x:v>사용자 표시 진행 메시지</x:v>
      </x:c>
      <x:c r="F44" s="233"/>
      <x:c r="G44" s="233"/>
      <x:c r="H44" s="233"/>
    </x:row>
    <x:row r="45" ht="18" customHeight="1">
      <x:c r="A45" s="233" t="str">
        <x:v>body</x:v>
      </x:c>
      <x:c r="B45" s="233" t="str">
        <x:v>questions</x:v>
      </x:c>
      <x:c r="C45" s="233" t="str">
        <x:v>array</x:v>
      </x:c>
      <x:c r="D45" s="233" t="str">
        <x:v>필수</x:v>
      </x:c>
      <x:c r="E45" s="233" t="str">
        <x:v>원본 순서대로 정렬된 전체 문항</x:v>
      </x:c>
      <x:c r="F45" s="233"/>
      <x:c r="G45" s="233"/>
      <x:c r="H45" s="233"/>
    </x:row>
    <x:row r="46" ht="22.5" customHeight="1">
      <x:c r="A46" s="233" t="str">
        <x:v>body</x:v>
      </x:c>
      <x:c r="B46" s="233" t="str">
        <x:v>questions[].questionResultId</x:v>
      </x:c>
      <x:c r="C46" s="233" t="str">
        <x:v>string</x:v>
      </x:c>
      <x:c r="D46" s="233" t="str">
        <x:v>nullable</x:v>
      </x:c>
      <x:c r="E46" s="233" t="str">
        <x:v>확정 ReviewVersion 문항 결과 ID. 진행 중 임시 결과는 null</x:v>
      </x:c>
      <x:c r="F46" s="233"/>
      <x:c r="G46" s="233"/>
      <x:c r="H46" s="233"/>
    </x:row>
    <x:row r="47" ht="18" customHeight="1">
      <x:c r="A47" s="233" t="str">
        <x:v>body</x:v>
      </x:c>
      <x:c r="B47" s="233" t="str">
        <x:v>questions[].questionId</x:v>
      </x:c>
      <x:c r="C47" s="233" t="str">
        <x:v>string</x:v>
      </x:c>
      <x:c r="D47" s="233" t="str">
        <x:v>필수</x:v>
      </x:c>
      <x:c r="E47" s="233" t="str">
        <x:v>원본 자기소개서 문항 ID</x:v>
      </x:c>
      <x:c r="F47" s="233"/>
      <x:c r="G47" s="233"/>
      <x:c r="H47" s="233"/>
    </x:row>
    <x:row r="48" ht="18" customHeight="1">
      <x:c r="A48" s="233" t="str">
        <x:v>body</x:v>
      </x:c>
      <x:c r="B48" s="233" t="str">
        <x:v>questions[].order</x:v>
      </x:c>
      <x:c r="C48" s="233" t="str">
        <x:v>integer</x:v>
      </x:c>
      <x:c r="D48" s="233" t="str">
        <x:v>필수</x:v>
      </x:c>
      <x:c r="E48" s="233" t="str">
        <x:v>화면 정렬 순서</x:v>
      </x:c>
      <x:c r="F48" s="233"/>
      <x:c r="G48" s="233"/>
      <x:c r="H48" s="233"/>
    </x:row>
    <x:row r="49" ht="18" customHeight="1">
      <x:c r="A49" s="233" t="str">
        <x:v>body</x:v>
      </x:c>
      <x:c r="B49" s="233" t="str">
        <x:v>questions[].question</x:v>
      </x:c>
      <x:c r="C49" s="233" t="str">
        <x:v>string</x:v>
      </x:c>
      <x:c r="D49" s="233" t="str">
        <x:v>필수</x:v>
      </x:c>
      <x:c r="E49" s="233" t="str">
        <x:v>질문 스냅샷</x:v>
      </x:c>
      <x:c r="F49" s="233"/>
      <x:c r="G49" s="233"/>
      <x:c r="H49" s="233"/>
    </x:row>
    <x:row r="50" ht="18" customHeight="1">
      <x:c r="A50" s="233" t="str">
        <x:v>body</x:v>
      </x:c>
      <x:c r="B50" s="233" t="str">
        <x:v>questions[].maxAnswerLength</x:v>
      </x:c>
      <x:c r="C50" s="233" t="str">
        <x:v>integer</x:v>
      </x:c>
      <x:c r="D50" s="233" t="str">
        <x:v>필수</x:v>
      </x:c>
      <x:c r="E50" s="233" t="str">
        <x:v>최대 답변 길이</x:v>
      </x:c>
      <x:c r="F50" s="233"/>
      <x:c r="G50" s="233"/>
      <x:c r="H50" s="233"/>
    </x:row>
    <x:row r="51" ht="18" customHeight="1">
      <x:c r="A51" s="233" t="str">
        <x:v>body</x:v>
      </x:c>
      <x:c r="B51" s="233" t="str">
        <x:v>questions[].originalAnswer</x:v>
      </x:c>
      <x:c r="C51" s="233" t="str">
        <x:v>string</x:v>
      </x:c>
      <x:c r="D51" s="233" t="str">
        <x:v>필수</x:v>
      </x:c>
      <x:c r="E51" s="233" t="str">
        <x:v>최초 첨삭은 원본 답변, 재첨삭은 이전 최신 finalAnswer</x:v>
      </x:c>
      <x:c r="F51" s="233"/>
      <x:c r="G51" s="233"/>
      <x:c r="H51" s="233"/>
    </x:row>
    <x:row r="52" ht="18" customHeight="1">
      <x:c r="A52" s="233" t="str">
        <x:v>body</x:v>
      </x:c>
      <x:c r="B52" s="233" t="str">
        <x:v>questions[].originalAnswerLength</x:v>
      </x:c>
      <x:c r="C52" s="233" t="str">
        <x:v>integer</x:v>
      </x:c>
      <x:c r="D52" s="233" t="str">
        <x:v>필수</x:v>
      </x:c>
      <x:c r="E52" s="233" t="str">
        <x:v>Unicode code point 기준</x:v>
      </x:c>
      <x:c r="F52" s="233"/>
      <x:c r="G52" s="233"/>
      <x:c r="H52" s="233"/>
    </x:row>
    <x:row r="53" ht="18" customHeight="1">
      <x:c r="A53" s="233" t="str">
        <x:v>body</x:v>
      </x:c>
      <x:c r="B53" s="233" t="str">
        <x:v>questions[].aiReport</x:v>
      </x:c>
      <x:c r="C53" s="233" t="str">
        <x:v>string</x:v>
      </x:c>
      <x:c r="D53" s="233" t="str">
        <x:v>nullable</x:v>
      </x:c>
      <x:c r="E53" s="233" t="str">
        <x:v>문항 결과가 완성되기 전 null</x:v>
      </x:c>
      <x:c r="F53" s="233"/>
      <x:c r="G53" s="233"/>
      <x:c r="H53" s="233"/>
    </x:row>
    <x:row r="54" ht="18" customHeight="1">
      <x:c r="A54" s="233" t="str">
        <x:v>body</x:v>
      </x:c>
      <x:c r="B54" s="233" t="str">
        <x:v>questions[].rewrittenAnswer</x:v>
      </x:c>
      <x:c r="C54" s="233" t="str">
        <x:v>string</x:v>
      </x:c>
      <x:c r="D54" s="233" t="str">
        <x:v>nullable</x:v>
      </x:c>
      <x:c r="E54" s="233" t="str">
        <x:v>문항 결과가 완성되기 전 null</x:v>
      </x:c>
      <x:c r="F54" s="233"/>
      <x:c r="G54" s="233"/>
      <x:c r="H54" s="233"/>
    </x:row>
    <x:row r="55" ht="18" customHeight="1">
      <x:c r="A55" s="233" t="str">
        <x:v>body</x:v>
      </x:c>
      <x:c r="B55" s="233" t="str">
        <x:v>questions[].rewrittenAnswerLength</x:v>
      </x:c>
      <x:c r="C55" s="233" t="str">
        <x:v>integer</x:v>
      </x:c>
      <x:c r="D55" s="233" t="str">
        <x:v>nullable</x:v>
      </x:c>
      <x:c r="E55" s="233" t="str">
        <x:v>문항 결과가 완성되기 전 null</x:v>
      </x:c>
      <x:c r="F55" s="233"/>
      <x:c r="G55" s="233"/>
      <x:c r="H55" s="233"/>
    </x:row>
    <x:row r="56" ht="18" customHeight="1">
      <x:c r="A56" s="233" t="str">
        <x:v>body</x:v>
      </x:c>
      <x:c r="B56" s="233" t="str">
        <x:v>questions[].finalAnswer</x:v>
      </x:c>
      <x:c r="C56" s="233" t="str">
        <x:v>string</x:v>
      </x:c>
      <x:c r="D56" s="233" t="str">
        <x:v>nullable</x:v>
      </x:c>
      <x:c r="E56" s="233" t="str">
        <x:v>완료 시 rewrittenAnswer로 초기화</x:v>
      </x:c>
      <x:c r="F56" s="233"/>
      <x:c r="G56" s="233"/>
      <x:c r="H56" s="233"/>
    </x:row>
    <x:row r="57" ht="18" customHeight="1">
      <x:c r="A57" s="233" t="str">
        <x:v>body</x:v>
      </x:c>
      <x:c r="B57" s="233" t="str">
        <x:v>questions[].finalAnswerLength</x:v>
      </x:c>
      <x:c r="C57" s="233" t="str">
        <x:v>integer</x:v>
      </x:c>
      <x:c r="D57" s="233" t="str">
        <x:v>nullable</x:v>
      </x:c>
      <x:c r="E57" s="233" t="str">
        <x:v>문항 결과가 완성되기 전 null</x:v>
      </x:c>
      <x:c r="F57" s="233"/>
      <x:c r="G57" s="233"/>
      <x:c r="H57" s="233"/>
    </x:row>
    <x:row r="58">
      <x:c r="A58"/>
      <x:c r="B58"/>
      <x:c r="C58"/>
      <x:c r="D58"/>
      <x:c r="E58"/>
    </x:row>
    <x:row r="59" ht="19.5" customHeight="1">
      <x:c r="A59" s="208" t="str">
        <x:v>오류 응답</x:v>
      </x:c>
      <x:c r="B59" s="208"/>
      <x:c r="C59" s="208"/>
      <x:c r="D59" s="208"/>
      <x:c r="E59" s="208"/>
      <x:c r="F59" s="208"/>
      <x:c r="G59" s="208"/>
      <x:c r="H59" s="208"/>
    </x:row>
    <x:row r="60">
      <x:c r="A60" s="228" t="str">
        <x:v>HTTP 상태</x:v>
      </x:c>
      <x:c r="B60" s="228" t="str">
        <x:v>오류 코드</x:v>
      </x:c>
      <x:c r="C60" s="228" t="str">
        <x:v>발생 조건</x:v>
      </x:c>
      <x:c r="D60" s="228" t="str">
        <x:v>프론트 처리</x:v>
      </x:c>
      <x:c r="E60" s="228"/>
      <x:c r="F60" s="228" t="str">
        <x:v>현재 상태</x:v>
      </x:c>
      <x:c r="G60" s="228"/>
      <x:c r="H60" s="228"/>
    </x:row>
    <x:row r="61" ht="21" customHeight="1">
      <x:c r="A61" s="233" t="str">
        <x:v>401 Unauthorized</x:v>
      </x:c>
      <x:c r="B61" s="233" t="str">
        <x:v>UNAUTHORIZED</x:v>
      </x:c>
      <x:c r="C61" s="233" t="str">
        <x:v>인증 cookie가 없거나 유효하지 않음</x:v>
      </x:c>
      <x:c r="D61" s="233" t="str">
        <x:v>로그인 화면으로 이동</x:v>
      </x:c>
      <x:c r="E61" s="233"/>
      <x:c r="F61" s="233" t="str">
        <x:v>계약 정의·인증 미구현</x:v>
      </x:c>
      <x:c r="G61" s="233"/>
      <x:c r="H61" s="233"/>
    </x:row>
    <x:row r="62" ht="21" customHeight="1">
      <x:c r="A62" s="233" t="str">
        <x:v>404 Not Found</x:v>
      </x:c>
      <x:c r="B62" s="233" t="str">
        <x:v>NOT_FOUND</x:v>
      </x:c>
      <x:c r="C62" s="233" t="str">
        <x:v>리소스가 없거나 소유자가 다르거나 삭제됨</x:v>
      </x:c>
      <x:c r="D62" s="233" t="str">
        <x:v>목록으로 이동하거나 삭제 상태 반영</x:v>
      </x:c>
      <x:c r="E62" s="233"/>
      <x:c r="F62" s="233" t="str">
        <x:v>현재 구현/신규 API는 구현 예정</x:v>
      </x:c>
      <x:c r="G62" s="233"/>
      <x:c r="H62" s="233"/>
    </x:row>
    <x:row r="63" ht="21" customHeight="1">
      <x:c r="A63" s="233" t="str">
        <x:v>500 Internal Server Error</x:v>
      </x:c>
      <x:c r="B63" s="233" t="str">
        <x:v>INTERNAL_ERROR</x:v>
      </x:c>
      <x:c r="C63" s="233" t="str">
        <x:v>예상하지 못한 서버 오류</x:v>
      </x:c>
      <x:c r="D63" s="233" t="str">
        <x:v>재시도 안내 후 지속 시 오류 정보 전달</x:v>
      </x:c>
      <x:c r="E63" s="233"/>
      <x:c r="F63" s="233" t="str">
        <x:v>공통 처리</x:v>
      </x:c>
      <x:c r="G63" s="233"/>
      <x:c r="H63" s="233"/>
    </x:row>
    <x:row r="65" ht="19.5" customHeight="1">
      <x:c r="A65" s="208" t="str">
        <x:v>프론트엔드 구현 메모</x:v>
      </x:c>
      <x:c r="B65" s="208"/>
      <x:c r="C65" s="208"/>
      <x:c r="D65" s="208"/>
      <x:c r="E65" s="208"/>
      <x:c r="F65" s="208"/>
      <x:c r="G65" s="208"/>
      <x:c r="H65" s="208"/>
    </x:row>
    <x:row r="66" ht="36" customHeight="1">
      <x:c r="A66" s="233" t="str">
        <x:v>DRAFT/REVIEWING/REVIEW_FAILED/REVIEWED 모두 같은 구조를 사용한다. REVIEWED는 최신 버전 전체 결과를 직접 반환한다. 재첨삭 진행 중에는 reviewVersion=null이며 originalAnswer는 이전 최신 finalAnswer다. 실패 임시 결과는 숨긴다.</x:v>
      </x:c>
      <x:c r="B66" s="233"/>
      <x:c r="C66" s="233"/>
      <x:c r="D66" s="233"/>
      <x:c r="E66" s="233"/>
      <x:c r="F66" s="233"/>
      <x:c r="G66" s="233"/>
      <x:c r="H66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A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E36:H36"/>
    <x:mergeCell ref="E37:H37"/>
    <x:mergeCell ref="E38:H38"/>
    <x:mergeCell ref="E39:H39"/>
    <x:mergeCell ref="E40:H40"/>
    <x:mergeCell ref="E41:H41"/>
    <x:mergeCell ref="E42:H42"/>
    <x:mergeCell ref="E43:H43"/>
    <x:mergeCell ref="E44:H44"/>
    <x:mergeCell ref="E45:H45"/>
    <x:mergeCell ref="E46:H46"/>
    <x:mergeCell ref="E47:H47"/>
    <x:mergeCell ref="E48:H48"/>
    <x:mergeCell ref="E49:H49"/>
    <x:mergeCell ref="E50:H50"/>
    <x:mergeCell ref="E51:H51"/>
    <x:mergeCell ref="E52:H52"/>
    <x:mergeCell ref="E53:H53"/>
    <x:mergeCell ref="E54:H54"/>
    <x:mergeCell ref="E55:H55"/>
    <x:mergeCell ref="E56:H56"/>
    <x:mergeCell ref="E57:H57"/>
    <x:mergeCell ref="A59:H59"/>
    <x:mergeCell ref="D60:E60"/>
    <x:mergeCell ref="F60:H60"/>
    <x:mergeCell ref="D61:E61"/>
    <x:mergeCell ref="F61:H61"/>
    <x:mergeCell ref="D62:E62"/>
    <x:mergeCell ref="F62:H62"/>
    <x:mergeCell ref="D63:E63"/>
    <x:mergeCell ref="F63:H63"/>
    <x:mergeCell ref="A65:H65"/>
    <x:mergeCell ref="A66:H66"/>
  </x:mergeCells>
  <x:pageMargins left="0.7" right="0.7" top="0.75" bottom="0.75" header="0.3" footer="0.3"/>
  <x:pageSetup paperSize="9" orientation="landscape" fitToWidth="1" fitToHeight="0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API-013  ·  자기소개서 soft delete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DELETE /cover-letters/{coverLetterId}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DELETE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자기소개서 soft delete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DELETE /cover-letters/cl_01HZ... HTTP/1.1
Accept: application/json
Cookie: access_token=&lt;access_token&gt;
X-CSRF-Token: &lt;csrf-token&gt;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12" customHeight="1">
      <x:c r="A14" s="115" t="inlineStr">
        <x:is>
          <x:t xml:space="preserve">HTTP/1.1 200 OK
Content-Type: application/json
{
  "success": true,
  "deletedAt": "2026-06-20T15:00:00"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71" t="inlineStr">
        <x:is>
          <x:t xml:space="preserve">header</x:t>
        </x:is>
      </x:c>
      <x:c r="B20" s="48" t="inlineStr">
        <x:is>
          <x:t xml:space="preserve">X-CSRF-Token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상태 변경 요청용 CSRF 토큰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67" t="inlineStr">
        <x:is>
          <x:t xml:space="preserve">success</x:t>
        </x:is>
      </x:c>
      <x:c r="B24" s="46" t="inlineStr">
        <x:is>
          <x:t xml:space="preserve">boolean</x:t>
        </x:is>
      </x:c>
      <x:c r="C24" s="46" t="inlineStr">
        <x:is>
          <x:t xml:space="preserve">필수</x:t>
        </x:is>
      </x:c>
      <x:c r="D24" s="68" t="inlineStr">
        <x:is>
          <x:t xml:space="preserve">처리 성공 여부</x:t>
        </x:is>
      </x:c>
    </x:row>
    <x:row r="25">
      <x:c r="A25" s="71" t="inlineStr">
        <x:is>
          <x:t xml:space="preserve">deletedAt</x:t>
        </x:is>
      </x:c>
      <x:c r="B25" s="48" t="inlineStr">
        <x:is>
          <x:t xml:space="preserve">string</x:t>
        </x:is>
      </x:c>
      <x:c r="C25" s="48" t="inlineStr">
        <x:is>
          <x:t xml:space="preserve">필수</x:t>
        </x:is>
      </x:c>
      <x:c r="D25" s="72" t="inlineStr">
        <x:is>
          <x:t xml:space="preserve">삭제 일시</x:t>
        </x:is>
      </x:c>
    </x:row>
    <x:row r="27" ht="24" customHeight="1">
      <x:c r="A27" s="113" t="inlineStr">
        <x:is>
          <x:t xml:space="preserve">오류 응답</x:t>
        </x:is>
      </x:c>
      <x:c r="B27" s="106" t="n"/>
      <x:c r="C27" s="106" t="n"/>
      <x:c r="D27" s="106" t="n"/>
      <x:c r="E27" s="106" t="n"/>
      <x:c r="F27" s="106" t="n"/>
      <x:c r="G27" s="106" t="n"/>
      <x:c r="H27" s="106" t="n"/>
    </x:row>
    <x:row r="28">
      <x:c r="A28" s="9" t="inlineStr">
        <x:is>
          <x:t xml:space="preserve">HTTP 상태</x:t>
        </x:is>
      </x:c>
      <x:c r="B28" s="10" t="inlineStr">
        <x:is>
          <x:t xml:space="preserve">오류 코드</x:t>
        </x:is>
      </x:c>
      <x:c r="C28" s="10" t="inlineStr">
        <x:is>
          <x:t xml:space="preserve">발생 조건</x:t>
        </x:is>
      </x:c>
      <x:c r="D28" s="10" t="inlineStr">
        <x:is>
          <x:t xml:space="preserve">프론트 처리</x:t>
        </x:is>
      </x:c>
      <x:c r="E28" s="11" t="inlineStr">
        <x:is>
          <x:t xml:space="preserve">현재 상태</x:t>
        </x:is>
      </x:c>
    </x:row>
    <x:row r="29">
      <x:c r="A29" s="67" t="inlineStr">
        <x:is>
          <x:t xml:space="preserve">404 Not Found</x:t>
        </x:is>
      </x:c>
      <x:c r="B29" s="46" t="inlineStr">
        <x:is>
          <x:t xml:space="preserve">NOT_FOUND</x:t>
        </x:is>
      </x:c>
      <x:c r="C29" s="46" t="inlineStr">
        <x:is>
          <x:t xml:space="preserve">리소스를 찾을 수 없습니다.</x:t>
        </x:is>
      </x:c>
      <x:c r="D29" s="46" t="inlineStr">
        <x:is>
          <x:t xml:space="preserve">목록으로 이동하거나 삭제 상태 반영</x:t>
        </x:is>
      </x:c>
      <x:c r="E29" s="68" t="inlineStr">
        <x:is>
          <x:t xml:space="preserve">현재 구현</x:t>
        </x:is>
      </x:c>
    </x:row>
    <x:row r="30">
      <x:c r="A30" s="69" t="inlineStr">
        <x:is>
          <x:t xml:space="preserve">401 Unauthorized</x:t>
        </x:is>
      </x:c>
      <x:c r="B30" s="47" t="inlineStr">
        <x:is>
          <x:t xml:space="preserve">UNAUTHORIZED</x:t>
        </x:is>
      </x:c>
      <x:c r="C30" s="47" t="inlineStr">
        <x:is>
          <x:t xml:space="preserve">인증 쿠키가 없거나 유효하지 않음</x:t>
        </x:is>
      </x:c>
      <x:c r="D30" s="47" t="inlineStr">
        <x:is>
          <x:t xml:space="preserve">로그인 화면으로 이동</x:t>
        </x:is>
      </x:c>
      <x:c r="E30" s="70" t="inlineStr">
        <x:is>
          <x:t xml:space="preserve">계약 정의·인증 미구현</x:t>
        </x:is>
      </x:c>
    </x:row>
    <x:row r="31">
      <x:c r="A31" s="69" t="inlineStr">
        <x:is>
          <x:t xml:space="preserve">403 Forbidden</x:t>
        </x:is>
      </x:c>
      <x:c r="B31" s="47" t="inlineStr">
        <x:is>
          <x:t xml:space="preserve">CSRF_INVALID</x:t>
        </x:is>
      </x:c>
      <x:c r="C31" s="47" t="inlineStr">
        <x:is>
          <x:t xml:space="preserve">CSRF 토큰이 없거나 일치하지 않음</x:t>
        </x:is>
      </x:c>
      <x:c r="D31" s="47" t="inlineStr">
        <x:is>
          <x:t xml:space="preserve">토큰 갱신 후 1회 재시도</x:t>
        </x:is>
      </x:c>
      <x:c r="E31" s="70" t="inlineStr">
        <x:is>
          <x:t xml:space="preserve">계약 정의·CSRF 미구현</x:t>
        </x:is>
      </x:c>
    </x:row>
    <x:row r="32">
      <x:c r="A32" s="71" t="inlineStr">
        <x:is>
          <x:t xml:space="preserve">500 Internal Server Error</x:t>
        </x:is>
      </x:c>
      <x:c r="B32" s="48" t="inlineStr">
        <x:is>
          <x:t xml:space="preserve">INTERNAL_ERROR</x:t>
        </x:is>
      </x:c>
      <x:c r="C32" s="48" t="inlineStr">
        <x:is>
          <x:t xml:space="preserve">예상하지 못한 서버 오류</x:t>
        </x:is>
      </x:c>
      <x:c r="D32" s="48" t="inlineStr">
        <x:is>
          <x:t xml:space="preserve">재시도 안내 후 지속 시 오류 정보 전달</x:t>
        </x:is>
      </x:c>
      <x:c r="E32" s="72" t="inlineStr">
        <x:is>
          <x:t xml:space="preserve">현재 구현</x:t>
        </x:is>
      </x:c>
    </x:row>
  </x:sheetData>
  <x:mergeCells>
    <x:mergeCell ref="A4:H4"/>
    <x:mergeCell ref="A16:H16"/>
    <x:mergeCell ref="A10:H10"/>
    <x:mergeCell ref="B2:H2"/>
    <x:mergeCell ref="A11:H11"/>
    <x:mergeCell ref="A13:H13"/>
    <x:mergeCell ref="A14:H14"/>
    <x:mergeCell ref="A1:H1"/>
    <x:mergeCell ref="A27:H27"/>
    <x:mergeCell ref="A22:H22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a669778bd41a45e9"/>
    <x:tablePart xmlns:r="http://schemas.openxmlformats.org/officeDocument/2006/relationships" r:id="Ra1cf2cf5cf974695"/>
    <x:tablePart xmlns:r="http://schemas.openxmlformats.org/officeDocument/2006/relationships" r:id="Rffe9259c278b47b4"/>
  </x:tableParts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API-014 · 자기소개서 제출 및 최초 첨삭 Job 생성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POST /cover-letters/{coverLetterId}/submit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POST</x:v>
      </x:c>
      <x:c r="C5" s="213" t="str">
        <x:v>Path</x:v>
      </x:c>
      <x:c r="D5" s="177" t="str">
        <x:v>/cover-letters/{coverLetterId}/submit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부분 구현·신규 계약 미구현</x:v>
      </x:c>
    </x:row>
    <x:row r="6" ht="22.5" customHeight="1">
      <x:c r="A6" s="213" t="str">
        <x:v>기능</x:v>
      </x:c>
      <x:c r="B6" s="177" t="str">
        <x:v>자기소개서 제출 및 최초 첨삭 Job 생성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필요 (미구현)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부분 구현·신규 계약 미구현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78" customHeight="1">
      <x:c r="A11" s="221" t="str">
        <x:v>POST /cover-letters/cl_01HZ.../submit HTTP/1.1
Content-Type: application/json
Cookie: access_token=&lt;access_token&gt;
X-CSRF-Token: &lt;csrf_token&gt;
{}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111.75" customHeight="1">
      <x:c r="A14" s="221" t="str">
        <x:v>HTTP/1.1 200 OK
Content-Type: application/json
{
  "coverLetterId": "cl_01HZ...",
  "status": "REVIEWING",
  "jobId": "job_01HZ...",
  "latestReviewVersionId": null
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coverLetterId</x:v>
      </x:c>
      <x:c r="C18" s="233" t="str">
        <x:v>string</x:v>
      </x:c>
      <x:c r="D18" s="233" t="str">
        <x:v>필수</x:v>
      </x:c>
      <x:c r="E18" s="233" t="str">
        <x:v>자기소개서 ID</x:v>
      </x:c>
      <x:c r="F18" s="233"/>
      <x:c r="G18" s="233"/>
      <x:c r="H18" s="233"/>
    </x:row>
    <x:row r="19" ht="18" customHeight="1">
      <x:c r="A19" s="233" t="str">
        <x:v>cookie</x:v>
      </x:c>
      <x:c r="B19" s="233" t="str">
        <x:v>access_token</x:v>
      </x:c>
      <x:c r="C19" s="233" t="str">
        <x:v>string</x:v>
      </x:c>
      <x:c r="D19" s="233" t="str">
        <x:v>계약상 필수</x:v>
      </x:c>
      <x:c r="E19" s="233" t="str">
        <x:v>현재 사용자 인증 cookie (인증 미구현)</x:v>
      </x:c>
      <x:c r="F19" s="233"/>
      <x:c r="G19" s="233"/>
      <x:c r="H19" s="233"/>
    </x:row>
    <x:row r="20" ht="18" customHeight="1">
      <x:c r="A20" s="233" t="str">
        <x:v>header</x:v>
      </x:c>
      <x:c r="B20" s="233" t="str">
        <x:v>X-CSRF-Token</x:v>
      </x:c>
      <x:c r="C20" s="233" t="str">
        <x:v>string</x:v>
      </x:c>
      <x:c r="D20" s="233" t="str">
        <x:v>계약상 필수</x:v>
      </x:c>
      <x:c r="E20" s="233" t="str">
        <x:v>상태 변경 요청 CSRF 토큰 (미구현)</x:v>
      </x:c>
      <x:c r="F20" s="233"/>
      <x:c r="G20" s="233"/>
      <x:c r="H20" s="233"/>
    </x:row>
    <x:row r="21">
      <x:c r="A21"/>
      <x:c r="B21"/>
      <x:c r="C21"/>
      <x:c r="D21"/>
      <x:c r="E21"/>
    </x:row>
    <x:row r="22" ht="19.5" customHeight="1">
      <x:c r="A22" s="208" t="str">
        <x:v>응답 필드 설명</x:v>
      </x:c>
      <x:c r="B22" s="208"/>
      <x:c r="C22" s="208"/>
      <x:c r="D22" s="208"/>
      <x:c r="E22" s="208"/>
      <x:c r="F22" s="208"/>
      <x:c r="G22" s="208"/>
      <x:c r="H22" s="208"/>
    </x:row>
    <x:row r="23" ht="18" customHeight="1">
      <x:c r="A23" s="228" t="str">
        <x:v>위치</x:v>
      </x:c>
      <x:c r="B23" s="228" t="str">
        <x:v>필드 경로</x:v>
      </x:c>
      <x:c r="C23" s="228" t="str">
        <x:v>타입</x:v>
      </x:c>
      <x:c r="D23" s="228" t="str">
        <x:v>필수 여부</x:v>
      </x:c>
      <x:c r="E23" s="228" t="str">
        <x:v>의미·제약</x:v>
      </x:c>
      <x:c r="F23" s="228"/>
      <x:c r="G23" s="228"/>
      <x:c r="H23" s="228"/>
    </x:row>
    <x:row r="24" ht="18" customHeight="1">
      <x:c r="A24" s="233" t="str">
        <x:v>body</x:v>
      </x:c>
      <x:c r="B24" s="233" t="str">
        <x:v>coverLetterId</x:v>
      </x:c>
      <x:c r="C24" s="233" t="str">
        <x:v>string</x:v>
      </x:c>
      <x:c r="D24" s="233" t="str">
        <x:v>필수</x:v>
      </x:c>
      <x:c r="E24" s="233" t="str">
        <x:v>자기소개서 ID</x:v>
      </x:c>
      <x:c r="F24" s="233"/>
      <x:c r="G24" s="233"/>
      <x:c r="H24" s="233"/>
    </x:row>
    <x:row r="25" ht="18" customHeight="1">
      <x:c r="A25" s="233" t="str">
        <x:v>body</x:v>
      </x:c>
      <x:c r="B25" s="233" t="str">
        <x:v>status</x:v>
      </x:c>
      <x:c r="C25" s="233" t="str">
        <x:v>string</x:v>
      </x:c>
      <x:c r="D25" s="233" t="str">
        <x:v>필수</x:v>
      </x:c>
      <x:c r="E25" s="233" t="str">
        <x:v>REVIEWING 또는 기존 상태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jobId</x:v>
      </x:c>
      <x:c r="C26" s="233" t="str">
        <x:v>string</x:v>
      </x:c>
      <x:c r="D26" s="233" t="str">
        <x:v>nullable</x:v>
      </x:c>
      <x:c r="E26" s="233" t="str">
        <x:v>새/기존 최초 첨삭 Job ID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latestReviewVersionId</x:v>
      </x:c>
      <x:c r="C27" s="233" t="str">
        <x:v>string</x:v>
      </x:c>
      <x:c r="D27" s="233" t="str">
        <x:v>nullable</x:v>
      </x:c>
      <x:c r="E27" s="233" t="str">
        <x:v>이미 REVIEWED인 경우 기존 최신 버전 ID</x:v>
      </x:c>
      <x:c r="F27" s="233"/>
      <x:c r="G27" s="233"/>
      <x:c r="H27" s="233"/>
    </x:row>
    <x:row r="28">
      <x:c r="A28"/>
      <x:c r="B28"/>
      <x:c r="C28"/>
      <x:c r="D28"/>
    </x:row>
    <x:row r="29" ht="19.5" customHeight="1">
      <x:c r="A29" s="208" t="str">
        <x:v>오류 응답</x:v>
      </x:c>
      <x:c r="B29" s="208"/>
      <x:c r="C29" s="208"/>
      <x:c r="D29" s="208"/>
      <x:c r="E29" s="208"/>
      <x:c r="F29" s="208"/>
      <x:c r="G29" s="208"/>
      <x:c r="H29" s="208"/>
    </x:row>
    <x:row r="30" ht="24" customHeight="1">
      <x:c r="A30" s="228" t="str">
        <x:v>HTTP 상태</x:v>
      </x:c>
      <x:c r="B30" s="228" t="str">
        <x:v>오류 코드</x:v>
      </x:c>
      <x:c r="C30" s="228" t="str">
        <x:v>발생 조건</x:v>
      </x:c>
      <x:c r="D30" s="228" t="str">
        <x:v>프론트 처리</x:v>
      </x:c>
      <x:c r="E30" s="228"/>
      <x:c r="F30" s="228" t="str">
        <x:v>현재 상태</x:v>
      </x:c>
      <x:c r="G30" s="228"/>
      <x:c r="H30" s="228"/>
    </x:row>
    <x:row r="31" ht="21" customHeight="1">
      <x:c r="A31" s="233" t="str">
        <x:v>400 Bad Request</x:v>
      </x:c>
      <x:c r="B31" s="233" t="str">
        <x:v>VALIDATION_ERROR</x:v>
      </x:c>
      <x:c r="C31" s="233" t="str">
        <x:v>필수 step 데이터가 누락됨</x:v>
      </x:c>
      <x:c r="D31" s="233" t="str">
        <x:v>details 기준 누락 입력 표시</x:v>
      </x:c>
      <x:c r="E31" s="233"/>
      <x:c r="F31" s="233" t="str">
        <x:v>현재 구현</x:v>
      </x:c>
      <x:c r="G31" s="233"/>
      <x:c r="H31" s="233"/>
    </x:row>
    <x:row r="32" ht="21" customHeight="1">
      <x:c r="A32" s="233" t="str">
        <x:v>409 Conflict</x:v>
      </x:c>
      <x:c r="B32" s="233" t="str">
        <x:v>LLM_JOB_ALREADY_RUNNING</x:v>
      </x:c>
      <x:c r="C32" s="233" t="str">
        <x:v>다른 종류의 LLM Job이 진행 중</x:v>
      </x:c>
      <x:c r="D32" s="233" t="str">
        <x:v>진행 중 작업 안내</x:v>
      </x:c>
      <x:c r="E32" s="233"/>
      <x:c r="F32" s="233" t="str">
        <x:v>현재 구현</x:v>
      </x:c>
      <x:c r="G32" s="233"/>
      <x:c r="H32" s="233"/>
    </x:row>
    <x:row r="33" ht="21" customHeight="1">
      <x:c r="A33" s="233" t="str">
        <x:v>401 Unauthorized</x:v>
      </x:c>
      <x:c r="B33" s="233" t="str">
        <x:v>UNAUTHORIZED</x:v>
      </x:c>
      <x:c r="C33" s="233" t="str">
        <x:v>인증 cookie가 없거나 유효하지 않음</x:v>
      </x:c>
      <x:c r="D33" s="233" t="str">
        <x:v>로그인 화면으로 이동</x:v>
      </x:c>
      <x:c r="E33" s="233"/>
      <x:c r="F33" s="233" t="str">
        <x:v>계약 정의·인증 미구현</x:v>
      </x:c>
      <x:c r="G33" s="233"/>
      <x:c r="H33" s="233"/>
    </x:row>
    <x:row r="34" ht="21" customHeight="1">
      <x:c r="A34" s="233" t="str">
        <x:v>404 Not Found</x:v>
      </x:c>
      <x:c r="B34" s="233" t="str">
        <x:v>NOT_FOUND</x:v>
      </x:c>
      <x:c r="C34" s="233" t="str">
        <x:v>리소스가 없거나 소유자가 다르거나 삭제됨</x:v>
      </x:c>
      <x:c r="D34" s="233" t="str">
        <x:v>목록으로 이동하거나 삭제 상태 반영</x:v>
      </x:c>
      <x:c r="E34" s="233"/>
      <x:c r="F34" s="233" t="str">
        <x:v>현재 구현/신규 API는 구현 예정</x:v>
      </x:c>
      <x:c r="G34" s="233"/>
      <x:c r="H34" s="233"/>
    </x:row>
    <x:row r="35" ht="21" customHeight="1">
      <x:c r="A35" s="233" t="str">
        <x:v>500 Internal Server Error</x:v>
      </x:c>
      <x:c r="B35" s="233" t="str">
        <x:v>INTERNAL_ERROR</x:v>
      </x:c>
      <x:c r="C35" s="233" t="str">
        <x:v>예상하지 못한 서버 오류</x:v>
      </x:c>
      <x:c r="D35" s="233" t="str">
        <x:v>재시도 안내 후 지속 시 오류 정보 전달</x:v>
      </x:c>
      <x:c r="E35" s="233"/>
      <x:c r="F35" s="233" t="str">
        <x:v>공통 처리</x:v>
      </x:c>
      <x:c r="G35" s="233"/>
      <x:c r="H35" s="233"/>
    </x:row>
    <x:row r="36">
      <x:c r="A36"/>
      <x:c r="B36"/>
      <x:c r="C36"/>
      <x:c r="D36"/>
      <x:c r="E36"/>
    </x:row>
    <x:row r="37" ht="19.5" customHeight="1">
      <x:c r="A37" s="208" t="str">
        <x:v>프론트엔드 구현 메모</x:v>
      </x:c>
      <x:c r="B37" s="208"/>
      <x:c r="C37" s="208"/>
      <x:c r="D37" s="208"/>
      <x:c r="E37" s="208"/>
      <x:c r="F37" s="208"/>
      <x:c r="G37" s="208"/>
      <x:c r="H37" s="208"/>
    </x:row>
    <x:row r="38" ht="36" customHeight="1">
      <x:c r="A38" s="233" t="str">
        <x:v>Job 생성 API는 구현되어 있다. 신규 계약은 전체 자기소개서 문맥과 대상 문항으로 문항별 호출을 병렬 실행하고, aiReport와 rewrittenAnswer가 모두 완성된 문항을 임시 영속 저장한 뒤 SSE로 전송한다. 모든 문항 성공 시에만 ReviewVersion을 확정한다.</x:v>
      </x:c>
      <x:c r="B38" s="233"/>
      <x:c r="C38" s="233"/>
      <x:c r="D38" s="233"/>
      <x:c r="E38" s="233"/>
      <x:c r="F38" s="233"/>
      <x:c r="G38" s="233"/>
      <x:c r="H38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E20:H20"/>
    <x:mergeCell ref="A22:H22"/>
    <x:mergeCell ref="E23:H23"/>
    <x:mergeCell ref="E24:H24"/>
    <x:mergeCell ref="E25:H25"/>
    <x:mergeCell ref="E26:H26"/>
    <x:mergeCell ref="E27:H27"/>
    <x:mergeCell ref="A29:H29"/>
    <x:mergeCell ref="D30:E30"/>
    <x:mergeCell ref="F30:H30"/>
    <x:mergeCell ref="D31:E31"/>
    <x:mergeCell ref="F31:H31"/>
    <x:mergeCell ref="D32:E32"/>
    <x:mergeCell ref="F32:H32"/>
    <x:mergeCell ref="D33:E33"/>
    <x:mergeCell ref="F33:H33"/>
    <x:mergeCell ref="D34:E34"/>
    <x:mergeCell ref="F34:H34"/>
    <x:mergeCell ref="D35:E35"/>
    <x:mergeCell ref="F35:H35"/>
    <x:mergeCell ref="A37:H37"/>
    <x:mergeCell ref="A38:H38"/>
  </x:mergeCells>
  <x:pageMargins left="0.7" right="0.7" top="0.75" bottom="0.75" header="0.3" footer="0.3"/>
  <x:pageSetup paperSize="9" orientation="landscape" fitToWidth="1" fitToHeight="0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API-015  ·  LLM Job 상태 조회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/llm-jobs/{jobId}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/llm-jobs/{jobId}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LLM Job 상태 조회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46219.004155092596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/llm-jobs/job_01HZ...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322" customHeight="1">
      <x:c r="A14" s="115" t="inlineStr">
        <x:is>
          <x:t xml:space="preserve">HTTP/1.1 200 OK
Content-Type: application/json
{
  "id": "job_01HZ...",
  "type": "COVER_LETTER_REVIEW",
  "status": "PROCESSING",
  "targetType": "COVER_LETTER",
  "targetId": "cl_01HZ...",
  "progress": {
    "current": 1,
    "total": 3,
    "message": "1번 문항을 첨삭하고 있습니다."
  },
  "attempt": 1,
  "maxAttempts": 2,
  "partialResult": null,
  "resultRef": null,
  "error": null,
  "createdAt": "2026-06-20T14:10:00",
  "completedAt": null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jobId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LLM Job ID</x:t>
        </x:is>
      </x:c>
    </x:row>
    <x:row r="19">
      <x:c r="A19" s="71" t="inlineStr">
        <x:is>
          <x:t xml:space="preserve">cookie</x:t>
        </x:is>
      </x:c>
      <x:c r="B19" s="48" t="inlineStr">
        <x:is>
          <x:t xml:space="preserve">access_token</x:t>
        </x:is>
      </x:c>
      <x:c r="C19" s="48" t="inlineStr">
        <x:is>
          <x:t xml:space="preserve">string</x:t>
        </x:is>
      </x:c>
      <x:c r="D19" s="48" t="inlineStr">
        <x:is>
          <x:t xml:space="preserve">계약상 필수 (현재 미검증)</x:t>
        </x:is>
      </x:c>
      <x:c r="E19" s="72" t="inlineStr">
        <x:is>
          <x:t xml:space="preserve">현재 사용자 인증 cookie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67" t="inlineStr">
        <x:is>
          <x:t xml:space="preserve">id</x:t>
        </x:is>
      </x:c>
      <x:c r="B23" s="46" t="inlineStr">
        <x:is>
          <x:t xml:space="preserve">string</x:t>
        </x:is>
      </x:c>
      <x:c r="C23" s="46" t="inlineStr">
        <x:is>
          <x:t xml:space="preserve">필수</x:t>
        </x:is>
      </x:c>
      <x:c r="D23" s="68" t="inlineStr">
        <x:is>
          <x:t xml:space="preserve">리소스 고유 ID</x:t>
        </x:is>
      </x:c>
    </x:row>
    <x:row r="24">
      <x:c r="A24" s="69" t="inlineStr">
        <x:is>
          <x:t xml:space="preserve">type</x:t>
        </x:is>
      </x:c>
      <x:c r="B24" s="47" t="inlineStr">
        <x:is>
          <x:t xml:space="preserve">string</x:t>
        </x:is>
      </x:c>
      <x:c r="C24" s="47" t="inlineStr">
        <x:is>
          <x:t xml:space="preserve">필수</x:t>
        </x:is>
      </x:c>
      <x:c r="D24" s="70" t="str">
        <x:v>작업 또는 참조 유형; 허용값: COVER_LETTER_REVIEW | COVER_LETTER_RE_REVIEW | KEYWORD_ANALYSIS | INTERVIEW_INITIAL_QUESTION_GENERATION | INTERVIEW_ADDITIONAL_QUESTION_GENERATION | INTERVIEW_MESSAGE_FEEDBACK</x:v>
      </x:c>
    </x:row>
    <x:row r="25">
      <x:c r="A25" s="69" t="inlineStr">
        <x:is>
          <x:t xml:space="preserve">status</x:t>
        </x:is>
      </x:c>
      <x:c r="B25" s="47" t="inlineStr">
        <x:is>
          <x:t xml:space="preserve">string</x:t>
        </x:is>
      </x:c>
      <x:c r="C25" s="47" t="inlineStr">
        <x:is>
          <x:t xml:space="preserve">필수</x:t>
        </x:is>
      </x:c>
      <x:c r="D25" s="70" t="inlineStr">
        <x:is>
          <x:t xml:space="preserve">현재 처리/리소스 상태; 허용값: PENDING | PROCESSING | COMPLETED | FAILED | CANCELED. FAILED도 HTTP 200이며 error를 확인</x:t>
        </x:is>
      </x:c>
    </x:row>
    <x:row r="26">
      <x:c r="A26" s="69" t="inlineStr">
        <x:is>
          <x:t xml:space="preserve">targetType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작업 대상 리소스 유형; 현재 허용값: COVER_LETTER</x:t>
        </x:is>
      </x:c>
    </x:row>
    <x:row r="27">
      <x:c r="A27" s="69" t="inlineStr">
        <x:is>
          <x:t xml:space="preserve">targetId</x:t>
        </x:is>
      </x:c>
      <x:c r="B27" s="47" t="inlineStr">
        <x:is>
          <x:t xml:space="preserve">string</x:t>
        </x:is>
      </x:c>
      <x:c r="C27" s="47" t="inlineStr">
        <x:is>
          <x:t xml:space="preserve">필수</x:t>
        </x:is>
      </x:c>
      <x:c r="D27" s="70" t="inlineStr">
        <x:is>
          <x:t xml:space="preserve">작업 대상 리소스 ID</x:t>
        </x:is>
      </x:c>
    </x:row>
    <x:row r="28">
      <x:c r="A28" s="69" t="inlineStr">
        <x:is>
          <x:t xml:space="preserve">progress</x:t>
        </x:is>
      </x:c>
      <x:c r="B28" s="47" t="inlineStr">
        <x:is>
          <x:t xml:space="preserve">object</x:t>
        </x:is>
      </x:c>
      <x:c r="C28" s="47" t="inlineStr">
        <x:is>
          <x:t xml:space="preserve">필수</x:t>
        </x:is>
      </x:c>
      <x:c r="D28" s="70" t="inlineStr">
        <x:is>
          <x:t xml:space="preserve">작업 진행 정보</x:t>
        </x:is>
      </x:c>
    </x:row>
    <x:row r="29">
      <x:c r="A29" s="69" t="inlineStr">
        <x:is>
          <x:t xml:space="preserve">progress.current</x:t>
        </x:is>
      </x:c>
      <x:c r="B29" s="47" t="inlineStr">
        <x:is>
          <x:t xml:space="preserve">integer</x:t>
        </x:is>
      </x:c>
      <x:c r="C29" s="47" t="inlineStr">
        <x:is>
          <x:t xml:space="preserve">필수</x:t>
        </x:is>
      </x:c>
      <x:c r="D29" s="70" t="inlineStr">
        <x:is>
          <x:t xml:space="preserve">현재 처리 완료 단위</x:t>
        </x:is>
      </x:c>
    </x:row>
    <x:row r="30">
      <x:c r="A30" s="69" t="inlineStr">
        <x:is>
          <x:t xml:space="preserve">progress.total</x:t>
        </x:is>
      </x:c>
      <x:c r="B30" s="47" t="inlineStr">
        <x:is>
          <x:t xml:space="preserve">integer</x:t>
        </x:is>
      </x:c>
      <x:c r="C30" s="47" t="inlineStr">
        <x:is>
          <x:t xml:space="preserve">필수</x:t>
        </x:is>
      </x:c>
      <x:c r="D30" s="70" t="inlineStr">
        <x:is>
          <x:t xml:space="preserve">전체 처리 단위</x:t>
        </x:is>
      </x:c>
    </x:row>
    <x:row r="31">
      <x:c r="A31" s="69" t="inlineStr">
        <x:is>
          <x:t xml:space="preserve">progress.message</x:t>
        </x:is>
      </x:c>
      <x:c r="B31" s="47" t="inlineStr">
        <x:is>
          <x:t xml:space="preserve">string</x:t>
        </x:is>
      </x:c>
      <x:c r="C31" s="47" t="inlineStr">
        <x:is>
          <x:t xml:space="preserve">조건부/nullable</x:t>
        </x:is>
      </x:c>
      <x:c r="D31" s="70" t="inlineStr">
        <x:is>
          <x:t xml:space="preserve">사용자 표시 메시지</x:t>
        </x:is>
      </x:c>
    </x:row>
    <x:row r="32">
      <x:c r="A32" s="69" t="inlineStr">
        <x:is>
          <x:t xml:space="preserve">attempt</x:t>
        </x:is>
      </x:c>
      <x:c r="B32" s="47" t="inlineStr">
        <x:is>
          <x:t xml:space="preserve">integer</x:t>
        </x:is>
      </x:c>
      <x:c r="C32" s="47" t="inlineStr">
        <x:is>
          <x:t xml:space="preserve">필수</x:t>
        </x:is>
      </x:c>
      <x:c r="D32" s="70" t="inlineStr">
        <x:is>
          <x:t xml:space="preserve">현재 시도 횟수</x:t>
        </x:is>
      </x:c>
    </x:row>
    <x:row r="33">
      <x:c r="A33" s="69" t="inlineStr">
        <x:is>
          <x:t xml:space="preserve">maxAttempts</x:t>
        </x:is>
      </x:c>
      <x:c r="B33" s="47" t="inlineStr">
        <x:is>
          <x:t xml:space="preserve">integer</x:t>
        </x:is>
      </x:c>
      <x:c r="C33" s="47" t="inlineStr">
        <x:is>
          <x:t xml:space="preserve">필수</x:t>
        </x:is>
      </x:c>
      <x:c r="D33" s="70" t="inlineStr">
        <x:is>
          <x:t xml:space="preserve">최대 시도 횟수</x:t>
        </x:is>
      </x:c>
    </x:row>
    <x:row r="34">
      <x:c r="A34" s="69" t="inlineStr">
        <x:is>
          <x:t xml:space="preserve">partialResult</x:t>
        </x:is>
      </x:c>
      <x:c r="B34" s="47" t="inlineStr">
        <x:is>
          <x:t xml:space="preserve">nullable</x:t>
        </x:is>
      </x:c>
      <x:c r="C34" s="47" t="inlineStr">
        <x:is>
          <x:t xml:space="preserve">조건부/nullable</x:t>
        </x:is>
      </x:c>
      <x:c r="D34" s="70" t="inlineStr">
        <x:is>
          <x:t xml:space="preserve">진행 중 부분 결과; 저장소 미구현 시 null</x:t>
        </x:is>
      </x:c>
    </x:row>
    <x:row r="35">
      <x:c r="A35" s="69" t="inlineStr">
        <x:is>
          <x:t xml:space="preserve">resultRef</x:t>
        </x:is>
      </x:c>
      <x:c r="B35" s="47" t="inlineStr">
        <x:is>
          <x:t xml:space="preserve">object</x:t>
        </x:is>
      </x:c>
      <x:c r="C35" s="47" t="inlineStr">
        <x:is>
          <x:t xml:space="preserve">조건부/nullable</x:t>
        </x:is>
      </x:c>
      <x:c r="D35" s="70" t="inlineStr">
        <x:is>
          <x:t xml:space="preserve">완료 결과 리소스 참조</x:t>
        </x:is>
      </x:c>
    </x:row>
    <x:row r="36">
      <x:c r="A36" s="69" t="inlineStr">
        <x:is>
          <x:t xml:space="preserve">error</x:t>
        </x:is>
      </x:c>
      <x:c r="B36" s="47" t="inlineStr">
        <x:is>
          <x:t xml:space="preserve">object</x:t>
        </x:is>
      </x:c>
      <x:c r="C36" s="47" t="inlineStr">
        <x:is>
          <x:t xml:space="preserve">조건부/nullable</x:t>
        </x:is>
      </x:c>
      <x:c r="D36" s="70" t="inlineStr">
        <x:is>
          <x:t xml:space="preserve">오류 정보; 정상일 때 null; FAILED 상태의 Job 오류 payload; HTTP 상태는 200</x:t>
        </x:is>
      </x:c>
    </x:row>
    <x:row r="37">
      <x:c r="A37" s="69" t="inlineStr">
        <x:is>
          <x:t xml:space="preserve">createdAt</x:t>
        </x:is>
      </x:c>
      <x:c r="B37" s="47" t="inlineStr">
        <x:is>
          <x:t xml:space="preserve">string</x:t>
        </x:is>
      </x:c>
      <x:c r="C37" s="47" t="inlineStr">
        <x:is>
          <x:t xml:space="preserve">필수</x:t>
        </x:is>
      </x:c>
      <x:c r="D37" s="70" t="inlineStr">
        <x:is>
          <x:t xml:space="preserve">생성 일시</x:t>
        </x:is>
      </x:c>
    </x:row>
    <x:row r="38">
      <x:c r="A38" s="69" t="inlineStr">
        <x:is>
          <x:t xml:space="preserve">completedAt</x:t>
        </x:is>
      </x:c>
      <x:c r="B38" s="47" t="inlineStr">
        <x:is>
          <x:t xml:space="preserve">string</x:t>
        </x:is>
      </x:c>
      <x:c r="C38" s="47" t="inlineStr">
        <x:is>
          <x:t xml:space="preserve">조건부/nullable</x:t>
        </x:is>
      </x:c>
      <x:c r="D38" s="70" t="inlineStr">
        <x:is>
          <x:t xml:space="preserve">작업 완료 일시</x:t>
        </x:is>
      </x:c>
    </x:row>
    <x:row r="39">
      <x:c r="A39" s="69" t="inlineStr">
        <x:is>
          <x:t xml:space="preserve">resultRef.type</x:t>
        </x:is>
      </x:c>
      <x:c r="B39" s="47" t="inlineStr">
        <x:is>
          <x:t xml:space="preserve">string</x:t>
        </x:is>
      </x:c>
      <x:c r="C39" s="47" t="inlineStr">
        <x:is>
          <x:t xml:space="preserve">부모 객체 존재 시 필수</x:t>
        </x:is>
      </x:c>
      <x:c r="D39" s="70" t="inlineStr">
        <x:is>
          <x:t xml:space="preserve">작업 또는 참조 유형; 허용값: REVIEW_VERSION | KEYWORD_ANALYSIS | INTERVIEW_SESSION | INTERVIEW_QUESTION | INTERVIEW_MESSAGE</x:t>
        </x:is>
      </x:c>
    </x:row>
    <x:row r="40">
      <x:c r="A40" s="69" t="inlineStr">
        <x:is>
          <x:t xml:space="preserve">resultRef.id</x:t>
        </x:is>
      </x:c>
      <x:c r="B40" s="47" t="inlineStr">
        <x:is>
          <x:t xml:space="preserve">string</x:t>
        </x:is>
      </x:c>
      <x:c r="C40" s="47" t="inlineStr">
        <x:is>
          <x:t xml:space="preserve">부모 객체 존재 시 필수</x:t>
        </x:is>
      </x:c>
      <x:c r="D40" s="70" t="inlineStr">
        <x:is>
          <x:t xml:space="preserve">리소스 고유 ID</x:t>
        </x:is>
      </x:c>
    </x:row>
    <x:row r="41">
      <x:c r="A41" s="69" t="inlineStr">
        <x:is>
          <x:t xml:space="preserve">error.code</x:t>
        </x:is>
      </x:c>
      <x:c r="B41" s="47" t="inlineStr">
        <x:is>
          <x:t xml:space="preserve">string</x:t>
        </x:is>
      </x:c>
      <x:c r="C41" s="47" t="inlineStr">
        <x:is>
          <x:t xml:space="preserve">부모 객체 존재 시 필수</x:t>
        </x:is>
      </x:c>
      <x:c r="D41" s="70" t="inlineStr">
        <x:is>
          <x:t xml:space="preserve">기계 판독용 오류 코드; 허용값: LLM_PROVIDER_TIMEOUT | LLM_PROVIDER_UNAVAILABLE | LLM_PROVIDER_RATE_LIMITED | LLM_CONTEXT_LENGTH_EXCEEDED | LLM_CONTENT_FILTERED | LLM_OUTPUT_VALIDATION_FAILED | LLM_PROVIDER_ERROR</x:t>
        </x:is>
      </x:c>
    </x:row>
    <x:row r="42">
      <x:c r="A42" s="71" t="inlineStr">
        <x:is>
          <x:t xml:space="preserve">error.message</x:t>
        </x:is>
      </x:c>
      <x:c r="B42" s="48" t="inlineStr">
        <x:is>
          <x:t xml:space="preserve">string</x:t>
        </x:is>
      </x:c>
      <x:c r="C42" s="48" t="inlineStr">
        <x:is>
          <x:t xml:space="preserve">부모 객체 존재 시 필수</x:t>
        </x:is>
      </x:c>
      <x:c r="D42" s="72" t="inlineStr">
        <x:is>
          <x:t xml:space="preserve">디버깅용 메시지; 사용자에게 직접 노출 금지</x:t>
        </x:is>
      </x:c>
    </x:row>
    <x:row r="44" ht="24" customHeight="1">
      <x:c r="A44" s="113" t="inlineStr">
        <x:is>
          <x:t xml:space="preserve">오류 응답</x:t>
        </x:is>
      </x:c>
      <x:c r="B44" s="106" t="n"/>
      <x:c r="C44" s="106" t="n"/>
      <x:c r="D44" s="106" t="n"/>
      <x:c r="E44" s="106" t="n"/>
      <x:c r="F44" s="106" t="n"/>
      <x:c r="G44" s="106" t="n"/>
      <x:c r="H44" s="106" t="n"/>
    </x:row>
    <x:row r="45">
      <x:c r="A45" s="9" t="inlineStr">
        <x:is>
          <x:t xml:space="preserve">HTTP 상태</x:t>
        </x:is>
      </x:c>
      <x:c r="B45" s="10" t="inlineStr">
        <x:is>
          <x:t xml:space="preserve">오류 코드</x:t>
        </x:is>
      </x:c>
      <x:c r="C45" s="10" t="inlineStr">
        <x:is>
          <x:t xml:space="preserve">발생 조건</x:t>
        </x:is>
      </x:c>
      <x:c r="D45" s="10" t="inlineStr">
        <x:is>
          <x:t xml:space="preserve">프론트 처리</x:t>
        </x:is>
      </x:c>
      <x:c r="E45" s="11" t="inlineStr">
        <x:is>
          <x:t xml:space="preserve">현재 상태</x:t>
        </x:is>
      </x:c>
    </x:row>
    <x:row r="46">
      <x:c r="A46" s="67" t="inlineStr">
        <x:is>
          <x:t xml:space="preserve">404 Not Found</x:t>
        </x:is>
      </x:c>
      <x:c r="B46" s="46" t="inlineStr">
        <x:is>
          <x:t xml:space="preserve">NOT_FOUND</x:t>
        </x:is>
      </x:c>
      <x:c r="C46" s="46" t="inlineStr">
        <x:is>
          <x:t xml:space="preserve">대상이 없거나 접근 권한이 없음</x:t>
        </x:is>
      </x:c>
      <x:c r="D46" s="46" t="inlineStr">
        <x:is>
          <x:t xml:space="preserve">목록으로 이동하거나 삭제 상태 반영</x:t>
        </x:is>
      </x:c>
      <x:c r="E46" s="68" t="inlineStr">
        <x:is>
          <x:t xml:space="preserve">현재 구현</x:t>
        </x:is>
      </x:c>
    </x:row>
    <x:row r="47">
      <x:c r="A47" s="69" t="inlineStr">
        <x:is>
          <x:t xml:space="preserve">401 Unauthorized</x:t>
        </x:is>
      </x:c>
      <x:c r="B47" s="47" t="inlineStr">
        <x:is>
          <x:t xml:space="preserve">UNAUTHORIZED</x:t>
        </x:is>
      </x:c>
      <x:c r="C47" s="47" t="inlineStr">
        <x:is>
          <x:t xml:space="preserve">인증 쿠키가 없거나 유효하지 않음</x:t>
        </x:is>
      </x:c>
      <x:c r="D47" s="47" t="inlineStr">
        <x:is>
          <x:t xml:space="preserve">로그인 화면으로 이동</x:t>
        </x:is>
      </x:c>
      <x:c r="E47" s="70" t="inlineStr">
        <x:is>
          <x:t xml:space="preserve">계약 정의·인증 미구현</x:t>
        </x:is>
      </x:c>
    </x:row>
    <x:row r="48">
      <x:c r="A48" s="71" t="inlineStr">
        <x:is>
          <x:t xml:space="preserve">500 Internal Server Error</x:t>
        </x:is>
      </x:c>
      <x:c r="B48" s="48" t="inlineStr">
        <x:is>
          <x:t xml:space="preserve">INTERNAL_ERROR</x:t>
        </x:is>
      </x:c>
      <x:c r="C48" s="48" t="inlineStr">
        <x:is>
          <x:t xml:space="preserve">예상하지 못한 서버 오류</x:t>
        </x:is>
      </x:c>
      <x:c r="D48" s="48" t="inlineStr">
        <x:is>
          <x:t xml:space="preserve">재시도 안내 후 지속 시 오류 정보 전달</x:t>
        </x:is>
      </x:c>
      <x:c r="E48" s="72" t="inlineStr">
        <x:is>
          <x:t xml:space="preserve">현재 구현</x:t>
        </x:is>
      </x:c>
    </x:row>
  </x:sheetData>
  <x:mergeCells>
    <x:mergeCell ref="A4:H4"/>
    <x:mergeCell ref="A21:H21"/>
    <x:mergeCell ref="A16:H16"/>
    <x:mergeCell ref="A10:H10"/>
    <x:mergeCell ref="B2:H2"/>
    <x:mergeCell ref="A11:H11"/>
    <x:mergeCell ref="A13:H13"/>
    <x:mergeCell ref="A14:H14"/>
    <x:mergeCell ref="A1:H1"/>
    <x:mergeCell ref="A44:H44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d218f7ac4492476d"/>
    <x:tablePart xmlns:r="http://schemas.openxmlformats.org/officeDocument/2006/relationships" r:id="R8fd0717e1e9a42e3"/>
    <x:tablePart xmlns:r="http://schemas.openxmlformats.org/officeDocument/2006/relationships" r:id="Rd4c09a152914474f"/>
  </x:tableParts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API-016 · 첨삭 문항 완료 SSE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/llm-jobs/{jobId}/stream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/llm-jobs/{jobId}/stream</x:v>
      </x:c>
      <x:c r="E5" s="213" t="str">
        <x:v>성공 상태</x:v>
      </x:c>
      <x:c r="F5" s="177" t="str">
        <x:v>200 OK (text/event-stream)</x:v>
      </x:c>
      <x:c r="G5" s="213" t="str">
        <x:v>가용 상태</x:v>
      </x:c>
      <x:c r="H5" s="177" t="str">
        <x:v>미구현·호출 금지</x:v>
      </x:c>
    </x:row>
    <x:row r="6" ht="22.5" customHeight="1">
      <x:c r="A6" s="213" t="str">
        <x:v>기능</x:v>
      </x:c>
      <x:c r="B6" s="177" t="str">
        <x:v>첨삭 문항 완료 SSE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EventSource 또는 fetch stream, credentials 포함</x:v>
      </x:c>
      <x:c r="C7" s="177"/>
      <x:c r="D7" s="177"/>
      <x:c r="E7" s="213" t="str">
        <x:v>계약 구현</x:v>
      </x:c>
      <x:c r="F7" s="177" t="str">
        <x:v>미구현·호출 금지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5.5" customHeight="1">
      <x:c r="A11" s="221" t="str">
        <x:v>GET /llm-jobs/job_01HZ.../stream HTTP/1.1
Accept: text/event-stream
Cache-Control: no-cache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100.5" customHeight="1">
      <x:c r="A14" s="221" t="str">
        <x:v>HTTP/1.1 200 OK
Content-Type: text/event-stream
event: review.question.completed
data: {"jobId":"job_01HZ...","questionId":"clq_01HZ...","order":1,"aiReport":"직무 경험과의 연결을 보강하세요.","rewrittenAnswer":"저는 백엔드 개발자로서..."}
event: job.completed
data: {"jobId":"job_01HZ...","resultRef":{"type":"REVIEW_VERSION","id":"rv_01HZ..."}}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jobId</x:v>
      </x:c>
      <x:c r="C18" s="233" t="str">
        <x:v>string</x:v>
      </x:c>
      <x:c r="D18" s="233" t="str">
        <x:v>필수</x:v>
      </x:c>
      <x:c r="E18" s="233" t="str">
        <x:v>API-012 reviewJob.jobId</x:v>
      </x:c>
      <x:c r="F18" s="233"/>
      <x:c r="G18" s="233"/>
      <x:c r="H18" s="233"/>
    </x:row>
    <x:row r="19" ht="18" customHeight="1">
      <x:c r="A19" s="233" t="str">
        <x:v>header</x:v>
      </x:c>
      <x:c r="B19" s="233" t="str">
        <x:v>Accept</x:v>
      </x:c>
      <x:c r="C19" s="233" t="str">
        <x:v>string</x:v>
      </x:c>
      <x:c r="D19" s="233" t="str">
        <x:v>필수</x:v>
      </x:c>
      <x:c r="E19" s="233" t="str">
        <x:v>text/event-stream</x:v>
      </x:c>
      <x:c r="F19" s="233"/>
      <x:c r="G19" s="233"/>
      <x:c r="H19" s="233"/>
    </x:row>
    <x:row r="20" ht="22.5" customHeight="1">
      <x:c r="A20" s="233" t="str">
        <x:v>cookie</x:v>
      </x:c>
      <x:c r="B20" s="233" t="str">
        <x:v>access_token</x:v>
      </x:c>
      <x:c r="C20" s="233" t="str">
        <x:v>string</x:v>
      </x:c>
      <x:c r="D20" s="233" t="str">
        <x:v>계약상 필수</x:v>
      </x:c>
      <x:c r="E20" s="233" t="str">
        <x:v>EventSource withCredentials=true 또는 동등한 cookie 전달</x:v>
      </x:c>
      <x:c r="F20" s="233"/>
      <x:c r="G20" s="233"/>
      <x:c r="H20" s="233"/>
    </x:row>
    <x:row r="22" ht="19.5" customHeight="1">
      <x:c r="A22" s="208" t="str">
        <x:v>응답 필드 설명</x:v>
      </x:c>
      <x:c r="B22" s="208"/>
      <x:c r="C22" s="208"/>
      <x:c r="D22" s="208"/>
      <x:c r="E22" s="208"/>
      <x:c r="F22" s="208"/>
      <x:c r="G22" s="208"/>
      <x:c r="H22" s="208"/>
    </x:row>
    <x:row r="23" ht="18" customHeight="1">
      <x:c r="A23" s="228" t="str">
        <x:v>위치</x:v>
      </x:c>
      <x:c r="B23" s="228" t="str">
        <x:v>필드 경로</x:v>
      </x:c>
      <x:c r="C23" s="228" t="str">
        <x:v>타입</x:v>
      </x:c>
      <x:c r="D23" s="228" t="str">
        <x:v>필수 여부</x:v>
      </x:c>
      <x:c r="E23" s="228" t="str">
        <x:v>의미·제약</x:v>
      </x:c>
      <x:c r="F23" s="228"/>
      <x:c r="G23" s="228"/>
      <x:c r="H23" s="228"/>
    </x:row>
    <x:row r="24" ht="18" customHeight="1">
      <x:c r="A24" s="233" t="str">
        <x:v>event</x:v>
      </x:c>
      <x:c r="B24" s="233" t="str">
        <x:v>review.question.completed</x:v>
      </x:c>
      <x:c r="C24" s="233" t="str">
        <x:v>SSE event</x:v>
      </x:c>
      <x:c r="D24" s="233" t="str">
        <x:v>조건부</x:v>
      </x:c>
      <x:c r="E24" s="233" t="str">
        <x:v>연결 시 기존 완료 문항 스냅샷과 이후 실시간 완료 문항</x:v>
      </x:c>
      <x:c r="F24" s="233"/>
      <x:c r="G24" s="233"/>
      <x:c r="H24" s="233"/>
    </x:row>
    <x:row r="25" ht="18" customHeight="1">
      <x:c r="A25" s="233" t="str">
        <x:v>data</x:v>
      </x:c>
      <x:c r="B25" s="233" t="str">
        <x:v>jobId</x:v>
      </x:c>
      <x:c r="C25" s="233" t="str">
        <x:v>string</x:v>
      </x:c>
      <x:c r="D25" s="233" t="str">
        <x:v>필수</x:v>
      </x:c>
      <x:c r="E25" s="233" t="str">
        <x:v>LLM Job ID</x:v>
      </x:c>
      <x:c r="F25" s="233"/>
      <x:c r="G25" s="233"/>
      <x:c r="H25" s="233"/>
    </x:row>
    <x:row r="26" ht="18" customHeight="1">
      <x:c r="A26" s="233" t="str">
        <x:v>data</x:v>
      </x:c>
      <x:c r="B26" s="233" t="str">
        <x:v>questionId</x:v>
      </x:c>
      <x:c r="C26" s="233" t="str">
        <x:v>string</x:v>
      </x:c>
      <x:c r="D26" s="233" t="str">
        <x:v>필수</x:v>
      </x:c>
      <x:c r="E26" s="233" t="str">
        <x:v>questionId 기준 upsert key</x:v>
      </x:c>
      <x:c r="F26" s="233"/>
      <x:c r="G26" s="233"/>
      <x:c r="H26" s="233"/>
    </x:row>
    <x:row r="27" ht="18" customHeight="1">
      <x:c r="A27" s="233" t="str">
        <x:v>data</x:v>
      </x:c>
      <x:c r="B27" s="233" t="str">
        <x:v>order</x:v>
      </x:c>
      <x:c r="C27" s="233" t="str">
        <x:v>integer</x:v>
      </x:c>
      <x:c r="D27" s="233" t="str">
        <x:v>필수</x:v>
      </x:c>
      <x:c r="E27" s="233" t="str">
        <x:v>화면 정렬 순서</x:v>
      </x:c>
      <x:c r="F27" s="233"/>
      <x:c r="G27" s="233"/>
      <x:c r="H27" s="233"/>
    </x:row>
    <x:row r="28" ht="18" customHeight="1">
      <x:c r="A28" s="233" t="str">
        <x:v>data</x:v>
      </x:c>
      <x:c r="B28" s="233" t="str">
        <x:v>aiReport</x:v>
      </x:c>
      <x:c r="C28" s="233" t="str">
        <x:v>string</x:v>
      </x:c>
      <x:c r="D28" s="233" t="str">
        <x:v>필수</x:v>
      </x:c>
      <x:c r="E28" s="233" t="str">
        <x:v>완성·검증된 AI 리포트</x:v>
      </x:c>
      <x:c r="F28" s="233"/>
      <x:c r="G28" s="233"/>
      <x:c r="H28" s="233"/>
    </x:row>
    <x:row r="29" ht="18" customHeight="1">
      <x:c r="A29" s="233" t="str">
        <x:v>data</x:v>
      </x:c>
      <x:c r="B29" s="233" t="str">
        <x:v>rewrittenAnswer</x:v>
      </x:c>
      <x:c r="C29" s="233" t="str">
        <x:v>string</x:v>
      </x:c>
      <x:c r="D29" s="233" t="str">
        <x:v>필수</x:v>
      </x:c>
      <x:c r="E29" s="233" t="str">
        <x:v>완성·검증된 AI 수정본</x:v>
      </x:c>
      <x:c r="F29" s="233"/>
      <x:c r="G29" s="233"/>
      <x:c r="H29" s="233"/>
    </x:row>
    <x:row r="30" ht="18" customHeight="1">
      <x:c r="A30" s="233" t="str">
        <x:v>event</x:v>
      </x:c>
      <x:c r="B30" s="233" t="str">
        <x:v>job.completed</x:v>
      </x:c>
      <x:c r="C30" s="233" t="str">
        <x:v>SSE event</x:v>
      </x:c>
      <x:c r="D30" s="233" t="str">
        <x:v>조건부</x:v>
      </x:c>
      <x:c r="E30" s="233" t="str">
        <x:v>모든 문항 성공 및 ReviewVersion 확정</x:v>
      </x:c>
      <x:c r="F30" s="233"/>
      <x:c r="G30" s="233"/>
      <x:c r="H30" s="233"/>
    </x:row>
    <x:row r="31" ht="18" customHeight="1">
      <x:c r="A31" s="233" t="str">
        <x:v>event</x:v>
      </x:c>
      <x:c r="B31" s="233" t="str">
        <x:v>job.failed</x:v>
      </x:c>
      <x:c r="C31" s="233" t="str">
        <x:v>SSE event</x:v>
      </x:c>
      <x:c r="D31" s="233" t="str">
        <x:v>조건부</x:v>
      </x:c>
      <x:c r="E31" s="233" t="str">
        <x:v>Job 최종 실패</x:v>
      </x:c>
      <x:c r="F31" s="233"/>
      <x:c r="G31" s="233"/>
      <x:c r="H31" s="233"/>
    </x:row>
    <x:row r="33" ht="19.5" customHeight="1">
      <x:c r="A33" s="208" t="str">
        <x:v>오류 응답</x:v>
      </x:c>
      <x:c r="B33" s="208"/>
      <x:c r="C33" s="208"/>
      <x:c r="D33" s="208"/>
      <x:c r="E33" s="208"/>
      <x:c r="F33" s="208"/>
      <x:c r="G33" s="208"/>
      <x:c r="H33" s="208"/>
    </x:row>
    <x:row r="34">
      <x:c r="A34" s="228" t="str">
        <x:v>HTTP 상태</x:v>
      </x:c>
      <x:c r="B34" s="228" t="str">
        <x:v>오류 코드</x:v>
      </x:c>
      <x:c r="C34" s="228" t="str">
        <x:v>발생 조건</x:v>
      </x:c>
      <x:c r="D34" s="228" t="str">
        <x:v>프론트 처리</x:v>
      </x:c>
      <x:c r="E34" s="228"/>
      <x:c r="F34" s="228" t="str">
        <x:v>현재 상태</x:v>
      </x:c>
      <x:c r="G34" s="228"/>
      <x:c r="H34" s="228"/>
    </x:row>
    <x:row r="35" ht="21" customHeight="1">
      <x:c r="A35" s="233" t="str">
        <x:v>401 Unauthorized</x:v>
      </x:c>
      <x:c r="B35" s="233" t="str">
        <x:v>UNAUTHORIZED</x:v>
      </x:c>
      <x:c r="C35" s="233" t="str">
        <x:v>인증 cookie가 없거나 유효하지 않음</x:v>
      </x:c>
      <x:c r="D35" s="233" t="str">
        <x:v>로그인 화면으로 이동</x:v>
      </x:c>
      <x:c r="E35" s="233"/>
      <x:c r="F35" s="233" t="str">
        <x:v>계약 정의·인증 미구현</x:v>
      </x:c>
      <x:c r="G35" s="233"/>
      <x:c r="H35" s="233"/>
    </x:row>
    <x:row r="36" ht="21" customHeight="1">
      <x:c r="A36" s="233" t="str">
        <x:v>404 Not Found</x:v>
      </x:c>
      <x:c r="B36" s="233" t="str">
        <x:v>NOT_FOUND</x:v>
      </x:c>
      <x:c r="C36" s="233" t="str">
        <x:v>리소스가 없거나 소유자가 다르거나 삭제됨</x:v>
      </x:c>
      <x:c r="D36" s="233" t="str">
        <x:v>목록으로 이동하거나 삭제 상태 반영</x:v>
      </x:c>
      <x:c r="E36" s="233"/>
      <x:c r="F36" s="233" t="str">
        <x:v>현재 구현/신규 API는 구현 예정</x:v>
      </x:c>
      <x:c r="G36" s="233"/>
      <x:c r="H36" s="233"/>
    </x:row>
    <x:row r="37" ht="21" customHeight="1">
      <x:c r="A37" s="233" t="str">
        <x:v>500 Internal Server Error</x:v>
      </x:c>
      <x:c r="B37" s="233" t="str">
        <x:v>INTERNAL_ERROR</x:v>
      </x:c>
      <x:c r="C37" s="233" t="str">
        <x:v>예상하지 못한 서버 오류</x:v>
      </x:c>
      <x:c r="D37" s="233" t="str">
        <x:v>재시도 안내 후 지속 시 오류 정보 전달</x:v>
      </x:c>
      <x:c r="E37" s="233"/>
      <x:c r="F37" s="233" t="str">
        <x:v>공통 처리</x:v>
      </x:c>
      <x:c r="G37" s="233"/>
      <x:c r="H37" s="233"/>
    </x:row>
    <x:row r="39" ht="19.5" customHeight="1">
      <x:c r="A39" s="208" t="str">
        <x:v>프론트엔드 구현 메모</x:v>
      </x:c>
      <x:c r="B39" s="208"/>
      <x:c r="C39" s="208"/>
      <x:c r="D39" s="208"/>
      <x:c r="E39" s="208"/>
      <x:c r="F39" s="208"/>
      <x:c r="G39" s="208"/>
      <x:c r="H39" s="208"/>
    </x:row>
    <x:row r="40" ht="36" customHeight="1">
      <x:c r="A40" s="233" t="str">
        <x:v>API-012를 먼저 조회한 뒤 연결한다. 연결 직후 영속화된 완료 문항 스냅샷을 먼저 보내므로 이벤트가 중복될 수 있다. FE는 questionId로 upsert하고 order로 정렬한다. 필드/토큰 delta와 Last-Event-ID 영속 replay는 제공하지 않는다.</x:v>
      </x:c>
      <x:c r="B40" s="233"/>
      <x:c r="C40" s="233"/>
      <x:c r="D40" s="233"/>
      <x:c r="E40" s="233"/>
      <x:c r="F40" s="233"/>
      <x:c r="G40" s="233"/>
      <x:c r="H40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E20:H20"/>
    <x:mergeCell ref="A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A33:H33"/>
    <x:mergeCell ref="D34:E34"/>
    <x:mergeCell ref="F34:H34"/>
    <x:mergeCell ref="D35:E35"/>
    <x:mergeCell ref="F35:H35"/>
    <x:mergeCell ref="D36:E36"/>
    <x:mergeCell ref="F36:H36"/>
    <x:mergeCell ref="D37:E37"/>
    <x:mergeCell ref="F37:H37"/>
    <x:mergeCell ref="A39:H39"/>
    <x:mergeCell ref="A40:H40"/>
  </x:mergeCells>
  <x:pageMargins left="0.7" right="0.7" top="0.75" bottom="0.75" header="0.3" footer="0.3"/>
  <x:pageSetup paperSize="9" orientation="landscape" fitToWidth="1" fitToHeight="0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API-017  ·  첨삭 버전 목록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/cover-letters/{coverLetterId}/review-versions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/cover-letters/{coverLetterId}/review-versions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첨삭 버전 목록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/cover-letters/cl_01HZ.../review-versions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280" customHeight="1">
      <x:c r="A14" s="115" t="inlineStr">
        <x:is>
          <x:t xml:space="preserve">HTTP/1.1 200 OK
Content-Type: application/json
{
  "items": [
    {
      "id": "rv_01HZ...",
      "version": "v0.2",
      "isLatest": true,
      "createdAt": "2026-06-20T14:31:00"
    },
    {
      "id": "rv_01HY...",
      "version": "v0.1",
      "isLatest": false,
      "createdAt": "2026-06-20T14:11:00"
    }
  ]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71" t="inlineStr">
        <x:is>
          <x:t xml:space="preserve">cookie</x:t>
        </x:is>
      </x:c>
      <x:c r="B19" s="48" t="inlineStr">
        <x:is>
          <x:t xml:space="preserve">access_token</x:t>
        </x:is>
      </x:c>
      <x:c r="C19" s="48" t="inlineStr">
        <x:is>
          <x:t xml:space="preserve">string</x:t>
        </x:is>
      </x:c>
      <x:c r="D19" s="48" t="inlineStr">
        <x:is>
          <x:t xml:space="preserve">계약상 필수 (현재 미검증)</x:t>
        </x:is>
      </x:c>
      <x:c r="E19" s="72" t="inlineStr">
        <x:is>
          <x:t xml:space="preserve">현재 사용자 인증 cookie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67" t="inlineStr">
        <x:is>
          <x:t xml:space="preserve">items</x:t>
        </x:is>
      </x:c>
      <x:c r="B23" s="46" t="inlineStr">
        <x:is>
          <x:t xml:space="preserve">array</x:t>
        </x:is>
      </x:c>
      <x:c r="C23" s="46" t="inlineStr">
        <x:is>
          <x:t xml:space="preserve">필수</x:t>
        </x:is>
      </x:c>
      <x:c r="D23" s="68" t="inlineStr">
        <x:is>
          <x:t xml:space="preserve">목록 항목 배열</x:t>
        </x:is>
      </x:c>
    </x:row>
    <x:row r="24">
      <x:c r="A24" s="69" t="inlineStr">
        <x:is>
          <x:t xml:space="preserve">items[].id</x:t>
        </x:is>
      </x:c>
      <x:c r="B24" s="47" t="inlineStr">
        <x:is>
          <x:t xml:space="preserve">string</x:t>
        </x:is>
      </x:c>
      <x:c r="C24" s="47" t="inlineStr">
        <x:is>
          <x:t xml:space="preserve">필수</x:t>
        </x:is>
      </x:c>
      <x:c r="D24" s="70" t="inlineStr">
        <x:is>
          <x:t xml:space="preserve">리소스 고유 ID</x:t>
        </x:is>
      </x:c>
    </x:row>
    <x:row r="25">
      <x:c r="A25" s="69" t="inlineStr">
        <x:is>
          <x:t xml:space="preserve">items[].version</x:t>
        </x:is>
      </x:c>
      <x:c r="B25" s="47" t="inlineStr">
        <x:is>
          <x:t xml:space="preserve">string</x:t>
        </x:is>
      </x:c>
      <x:c r="C25" s="47" t="inlineStr">
        <x:is>
          <x:t xml:space="preserve">필수</x:t>
        </x:is>
      </x:c>
      <x:c r="D25" s="70" t="inlineStr">
        <x:is>
          <x:t xml:space="preserve">표시용 첨삭 버전</x:t>
        </x:is>
      </x:c>
    </x:row>
    <x:row r="26">
      <x:c r="A26" s="69" t="inlineStr">
        <x:is>
          <x:t xml:space="preserve">items[].isLatest</x:t>
        </x:is>
      </x:c>
      <x:c r="B26" s="47" t="inlineStr">
        <x:is>
          <x:t xml:space="preserve">boolean</x:t>
        </x:is>
      </x:c>
      <x:c r="C26" s="47" t="inlineStr">
        <x:is>
          <x:t xml:space="preserve">필수</x:t>
        </x:is>
      </x:c>
      <x:c r="D26" s="70" t="inlineStr">
        <x:is>
          <x:t xml:space="preserve">최신 첨삭 버전 여부</x:t>
        </x:is>
      </x:c>
    </x:row>
    <x:row r="27">
      <x:c r="A27" s="71" t="inlineStr">
        <x:is>
          <x:t xml:space="preserve">items[].createdAt</x:t>
        </x:is>
      </x:c>
      <x:c r="B27" s="48" t="inlineStr">
        <x:is>
          <x:t xml:space="preserve">string</x:t>
        </x:is>
      </x:c>
      <x:c r="C27" s="48" t="inlineStr">
        <x:is>
          <x:t xml:space="preserve">필수</x:t>
        </x:is>
      </x:c>
      <x:c r="D27" s="72" t="inlineStr">
        <x:is>
          <x:t xml:space="preserve">생성 일시</x:t>
        </x:is>
      </x:c>
    </x:row>
    <x:row r="29" ht="24" customHeight="1">
      <x:c r="A29" s="113" t="inlineStr">
        <x:is>
          <x:t xml:space="preserve">오류 응답</x:t>
        </x:is>
      </x:c>
      <x:c r="B29" s="106" t="n"/>
      <x:c r="C29" s="106" t="n"/>
      <x:c r="D29" s="106" t="n"/>
      <x:c r="E29" s="106" t="n"/>
      <x:c r="F29" s="106" t="n"/>
      <x:c r="G29" s="106" t="n"/>
      <x:c r="H29" s="106" t="n"/>
    </x:row>
    <x:row r="30">
      <x:c r="A30" s="9" t="inlineStr">
        <x:is>
          <x:t xml:space="preserve">HTTP 상태</x:t>
        </x:is>
      </x:c>
      <x:c r="B30" s="10" t="inlineStr">
        <x:is>
          <x:t xml:space="preserve">오류 코드</x:t>
        </x:is>
      </x:c>
      <x:c r="C30" s="10" t="inlineStr">
        <x:is>
          <x:t xml:space="preserve">발생 조건</x:t>
        </x:is>
      </x:c>
      <x:c r="D30" s="10" t="inlineStr">
        <x:is>
          <x:t xml:space="preserve">프론트 처리</x:t>
        </x:is>
      </x:c>
      <x:c r="E30" s="11" t="inlineStr">
        <x:is>
          <x:t xml:space="preserve">현재 상태</x:t>
        </x:is>
      </x:c>
    </x:row>
    <x:row r="31">
      <x:c r="A31" s="67" t="inlineStr">
        <x:is>
          <x:t xml:space="preserve">401 Unauthorized</x:t>
        </x:is>
      </x:c>
      <x:c r="B31" s="46" t="inlineStr">
        <x:is>
          <x:t xml:space="preserve">UNAUTHORIZED</x:t>
        </x:is>
      </x:c>
      <x:c r="C31" s="46" t="inlineStr">
        <x:is>
          <x:t xml:space="preserve">인증 쿠키가 없거나 유효하지 않음</x:t>
        </x:is>
      </x:c>
      <x:c r="D31" s="46" t="inlineStr">
        <x:is>
          <x:t xml:space="preserve">로그인 화면으로 이동</x:t>
        </x:is>
      </x:c>
      <x:c r="E31" s="68" t="inlineStr">
        <x:is>
          <x:t xml:space="preserve">계약 정의·인증 미구현</x:t>
        </x:is>
      </x:c>
    </x:row>
    <x:row r="32">
      <x:c r="A32" s="69" t="inlineStr">
        <x:is>
          <x:t xml:space="preserve">404 Not Found</x:t>
        </x:is>
      </x:c>
      <x:c r="B32" s="47" t="inlineStr">
        <x:is>
          <x:t xml:space="preserve">NOT_FOUND</x:t>
        </x:is>
      </x:c>
      <x:c r="C32" s="47" t="inlineStr">
        <x:is>
          <x:t xml:space="preserve">대상이 없거나 접근 권한이 없음</x:t>
        </x:is>
      </x:c>
      <x:c r="D32" s="47" t="inlineStr">
        <x:is>
          <x:t xml:space="preserve">목록으로 이동하거나 삭제 상태 반영</x:t>
        </x:is>
      </x:c>
      <x:c r="E32" s="70" t="inlineStr">
        <x:is>
          <x:t xml:space="preserve">현재 구현</x:t>
        </x:is>
      </x:c>
    </x:row>
    <x:row r="33">
      <x:c r="A33" s="71" t="inlineStr">
        <x:is>
          <x:t xml:space="preserve">500 Internal Server Error</x:t>
        </x:is>
      </x:c>
      <x:c r="B33" s="48" t="inlineStr">
        <x:is>
          <x:t xml:space="preserve">INTERNAL_ERROR</x:t>
        </x:is>
      </x:c>
      <x:c r="C33" s="48" t="inlineStr">
        <x:is>
          <x:t xml:space="preserve">예상하지 못한 서버 오류</x:t>
        </x:is>
      </x:c>
      <x:c r="D33" s="48" t="inlineStr">
        <x:is>
          <x:t xml:space="preserve">재시도 안내 후 지속 시 오류 정보 전달</x:t>
        </x:is>
      </x:c>
      <x:c r="E33" s="72" t="inlineStr">
        <x:is>
          <x:t xml:space="preserve">현재 구현</x:t>
        </x:is>
      </x:c>
    </x:row>
  </x:sheetData>
  <x:mergeCells>
    <x:mergeCell ref="A4:H4"/>
    <x:mergeCell ref="A21:H21"/>
    <x:mergeCell ref="A29:H29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6d32369d37f34012"/>
    <x:tablePart xmlns:r="http://schemas.openxmlformats.org/officeDocument/2006/relationships" r:id="R2f826274311d41ec"/>
    <x:tablePart xmlns:r="http://schemas.openxmlformats.org/officeDocument/2006/relationships" r:id="R10618d3fcd9a4610"/>
  </x:tableParts>
</x:worksheet>
</file>

<file path=xl/worksheets/sheet19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API-018 · 선택 첨삭 버전 상세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/cover-letters/{coverLetterId}/review-versions/{versionId}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/cover-letters/{coverLetterId}/review-versions/{versionId}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부분 구현·신규 계약 미구현</x:v>
      </x:c>
    </x:row>
    <x:row r="6" ht="22.5" customHeight="1">
      <x:c r="A6" s="213" t="str">
        <x:v>기능</x:v>
      </x:c>
      <x:c r="B6" s="177" t="str">
        <x:v>선택 첨삭 버전 상세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부분 구현·신규 계약 미구현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2.5" customHeight="1">
      <x:c r="A11" s="221" t="str">
        <x:v>GET /cover-letters/cl_01HZ.../review-versions/rv_01HZ... HTTP/1.1
Accept: application/json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280.5" customHeight="1">
      <x:c r="A14" s="221" t="str">
        <x:v>HTTP/1.1 200 OK
Content-Type: application/json
{
  "coverLetter": {
    "id": "cl_01HZ...", "title": "2026 상반기 백엔드 개발자 자기소개서",
    "companyName": "Rewrite Corp", "positionTitle": "백엔드 개발자",
    "jobPostingUrl": "https://example.com/jobs/1", "preferences": "Spring Boot 경험",
    "status": "REVIEWED"
  },
  "reviewVersion": {
    "id": "rv_01HZ...", "version": "v0.1", "isLatest": false,
    "requestInstruction": null, "createdAt": "2026-06-20T14:11:00"
  },
  "reviewJob": null,
  "questions": [{
    "questionResultId": "rvqr_01HZ...", "questionId": "clq_01HZ...", "order": 1,
    "question": "지원 동기를 작성해주세요.", "maxAnswerLength": 1000,
    "originalAnswer": "제가 지원한 이유는...", "originalAnswerLength": 530,
    "aiReport": "직무 경험과의 연결을 보강하세요.",
    "rewrittenAnswer": "저는 백엔드 개발자로서...", "rewrittenAnswerLength": 820,
    "finalAnswer": "저는 백엔드 개발자로서...", "finalAnswerLength": 810
  }]
}</x:v>
      </x:c>
      <x:c r="B14" s="222"/>
      <x:c r="C14" s="222"/>
      <x:c r="D14" s="222"/>
      <x:c r="E14" s="222"/>
      <x:c r="F14" s="222"/>
      <x:c r="G14" s="222"/>
      <x:c r="H14" s="223"/>
    </x:row>
    <x:row r="15" ht="56" customHeight="1">
      <x:c r="A15"/>
      <x:c r="B15"/>
      <x:c r="C15"/>
      <x:c r="D15"/>
      <x:c r="E15"/>
      <x:c r="F15"/>
      <x:c r="G15"/>
      <x:c r="H15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coverLetterId</x:v>
      </x:c>
      <x:c r="C18" s="233" t="str">
        <x:v>string</x:v>
      </x:c>
      <x:c r="D18" s="233" t="str">
        <x:v>필수</x:v>
      </x:c>
      <x:c r="E18" s="233" t="str">
        <x:v>자기소개서 ID</x:v>
      </x:c>
      <x:c r="F18" s="233"/>
      <x:c r="G18" s="233"/>
      <x:c r="H18" s="233"/>
    </x:row>
    <x:row r="19" ht="18" customHeight="1">
      <x:c r="A19" s="233" t="str">
        <x:v>path</x:v>
      </x:c>
      <x:c r="B19" s="233" t="str">
        <x:v>versionId</x:v>
      </x:c>
      <x:c r="C19" s="233" t="str">
        <x:v>string</x:v>
      </x:c>
      <x:c r="D19" s="233" t="str">
        <x:v>필수</x:v>
      </x:c>
      <x:c r="E19" s="233" t="str">
        <x:v>조회할 첨삭 버전 ID</x:v>
      </x:c>
      <x:c r="F19" s="233"/>
      <x:c r="G19" s="233"/>
      <x:c r="H19" s="233"/>
    </x:row>
    <x:row r="20" ht="18" customHeight="1">
      <x:c r="A20" s="233" t="str">
        <x:v>cookie</x:v>
      </x:c>
      <x:c r="B20" s="233" t="str">
        <x:v>access_token</x:v>
      </x:c>
      <x:c r="C20" s="233" t="str">
        <x:v>string</x:v>
      </x:c>
      <x:c r="D20" s="233" t="str">
        <x:v>계약상 필수</x:v>
      </x:c>
      <x:c r="E20" s="233" t="str">
        <x:v>현재 사용자 인증 cookie (인증 미구현)</x:v>
      </x:c>
      <x:c r="F20" s="233"/>
      <x:c r="G20" s="233"/>
      <x:c r="H20" s="233"/>
    </x:row>
    <x:row r="21">
      <x:c r="A21"/>
      <x:c r="B21"/>
      <x:c r="C21"/>
      <x:c r="D21"/>
      <x:c r="E21"/>
    </x:row>
    <x:row r="22" ht="19.5" customHeight="1">
      <x:c r="A22" s="208" t="str">
        <x:v>응답 필드 설명</x:v>
      </x:c>
      <x:c r="B22" s="208"/>
      <x:c r="C22" s="208"/>
      <x:c r="D22" s="208"/>
      <x:c r="E22" s="208"/>
      <x:c r="F22" s="208"/>
      <x:c r="G22" s="208"/>
      <x:c r="H22" s="208"/>
    </x:row>
    <x:row r="23" ht="18" customHeight="1">
      <x:c r="A23" s="228" t="str">
        <x:v>위치</x:v>
      </x:c>
      <x:c r="B23" s="228" t="str">
        <x:v>필드 경로</x:v>
      </x:c>
      <x:c r="C23" s="228" t="str">
        <x:v>타입</x:v>
      </x:c>
      <x:c r="D23" s="228" t="str">
        <x:v>필수 여부</x:v>
      </x:c>
      <x:c r="E23" s="228" t="str">
        <x:v>의미·제약</x:v>
      </x:c>
      <x:c r="F23" s="228"/>
      <x:c r="G23" s="228"/>
      <x:c r="H23" s="228"/>
    </x:row>
    <x:row r="24" ht="18" customHeight="1">
      <x:c r="A24" s="233" t="str">
        <x:v>body</x:v>
      </x:c>
      <x:c r="B24" s="233" t="str">
        <x:v>coverLetter</x:v>
      </x:c>
      <x:c r="C24" s="233" t="str">
        <x:v>object</x:v>
      </x:c>
      <x:c r="D24" s="233" t="str">
        <x:v>필수</x:v>
      </x:c>
      <x:c r="E24" s="233" t="str">
        <x:v>화면 상단 자기소개서 요약</x:v>
      </x:c>
      <x:c r="F24" s="233"/>
      <x:c r="G24" s="233"/>
      <x:c r="H24" s="233"/>
    </x:row>
    <x:row r="25" ht="18" customHeight="1">
      <x:c r="A25" s="233" t="str">
        <x:v>body</x:v>
      </x:c>
      <x:c r="B25" s="233" t="str">
        <x:v>coverLetter.id</x:v>
      </x:c>
      <x:c r="C25" s="233" t="str">
        <x:v>string</x:v>
      </x:c>
      <x:c r="D25" s="233" t="str">
        <x:v>필수</x:v>
      </x:c>
      <x:c r="E25" s="233" t="str">
        <x:v>자기소개서 ID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coverLetter.title</x:v>
      </x:c>
      <x:c r="C26" s="233" t="str">
        <x:v>string</x:v>
      </x:c>
      <x:c r="D26" s="233" t="str">
        <x:v>조건부/nullable</x:v>
      </x:c>
      <x:c r="E26" s="233" t="str">
        <x:v>자기소개서 제목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coverLetter.companyName</x:v>
      </x:c>
      <x:c r="C27" s="233" t="str">
        <x:v>string</x:v>
      </x:c>
      <x:c r="D27" s="233" t="str">
        <x:v>조건부/nullable</x:v>
      </x:c>
      <x:c r="E27" s="233" t="str">
        <x:v>지원 회사명</x:v>
      </x:c>
      <x:c r="F27" s="233"/>
      <x:c r="G27" s="233"/>
      <x:c r="H27" s="233"/>
    </x:row>
    <x:row r="28" ht="18" customHeight="1">
      <x:c r="A28" s="233" t="str">
        <x:v>body</x:v>
      </x:c>
      <x:c r="B28" s="233" t="str">
        <x:v>coverLetter.positionTitle</x:v>
      </x:c>
      <x:c r="C28" s="233" t="str">
        <x:v>string</x:v>
      </x:c>
      <x:c r="D28" s="233" t="str">
        <x:v>조건부/nullable</x:v>
      </x:c>
      <x:c r="E28" s="233" t="str">
        <x:v>지원 직무명</x:v>
      </x:c>
      <x:c r="F28" s="233"/>
      <x:c r="G28" s="233"/>
      <x:c r="H28" s="233"/>
    </x:row>
    <x:row r="29" ht="18" customHeight="1">
      <x:c r="A29" s="233" t="str">
        <x:v>body</x:v>
      </x:c>
      <x:c r="B29" s="233" t="str">
        <x:v>coverLetter.jobPostingUrl</x:v>
      </x:c>
      <x:c r="C29" s="233" t="str">
        <x:v>string</x:v>
      </x:c>
      <x:c r="D29" s="233" t="str">
        <x:v>조건부/nullable</x:v>
      </x:c>
      <x:c r="E29" s="233" t="str">
        <x:v>채용 공고 URL</x:v>
      </x:c>
      <x:c r="F29" s="233"/>
      <x:c r="G29" s="233"/>
      <x:c r="H29" s="233"/>
    </x:row>
    <x:row r="30" ht="18" customHeight="1">
      <x:c r="A30" s="233" t="str">
        <x:v>body</x:v>
      </x:c>
      <x:c r="B30" s="233" t="str">
        <x:v>coverLetter.preferences</x:v>
      </x:c>
      <x:c r="C30" s="233" t="str">
        <x:v>string</x:v>
      </x:c>
      <x:c r="D30" s="233" t="str">
        <x:v>조건부/nullable</x:v>
      </x:c>
      <x:c r="E30" s="233" t="str">
        <x:v>채용 우대사항</x:v>
      </x:c>
      <x:c r="F30" s="233"/>
      <x:c r="G30" s="233"/>
      <x:c r="H30" s="233"/>
    </x:row>
    <x:row r="31" ht="22.5" customHeight="1">
      <x:c r="A31" s="233" t="str">
        <x:v>body</x:v>
      </x:c>
      <x:c r="B31" s="233" t="str">
        <x:v>coverLetter.status</x:v>
      </x:c>
      <x:c r="C31" s="233" t="str">
        <x:v>string</x:v>
      </x:c>
      <x:c r="D31" s="233" t="str">
        <x:v>필수</x:v>
      </x:c>
      <x:c r="E31" s="233" t="str">
        <x:v>DRAFT | REVIEWING | REVIEW_FAILED | REVIEWED</x:v>
      </x:c>
      <x:c r="F31" s="233"/>
      <x:c r="G31" s="233"/>
      <x:c r="H31" s="233"/>
    </x:row>
    <x:row r="32" ht="18" customHeight="1">
      <x:c r="A32" s="233" t="str">
        <x:v>body</x:v>
      </x:c>
      <x:c r="B32" s="233" t="str">
        <x:v>reviewVersion</x:v>
      </x:c>
      <x:c r="C32" s="233" t="str">
        <x:v>object</x:v>
      </x:c>
      <x:c r="D32" s="233" t="str">
        <x:v>nullable</x:v>
      </x:c>
      <x:c r="E32" s="233" t="str">
        <x:v>확정 첨삭 버전 요약. 진행/실패/DRAFT 또는 재첨삭 진행 중 null</x:v>
      </x:c>
      <x:c r="F32" s="233"/>
      <x:c r="G32" s="233"/>
      <x:c r="H32" s="233"/>
    </x:row>
    <x:row r="33" ht="18" customHeight="1">
      <x:c r="A33" s="233" t="str">
        <x:v>body</x:v>
      </x:c>
      <x:c r="B33" s="233" t="str">
        <x:v>reviewVersion.id</x:v>
      </x:c>
      <x:c r="C33" s="233" t="str">
        <x:v>string</x:v>
      </x:c>
      <x:c r="D33" s="233" t="str">
        <x:v>조건부</x:v>
      </x:c>
      <x:c r="E33" s="233" t="str">
        <x:v>첨삭 버전 ID</x:v>
      </x:c>
      <x:c r="F33" s="233"/>
      <x:c r="G33" s="233"/>
      <x:c r="H33" s="233"/>
    </x:row>
    <x:row r="34" ht="18" customHeight="1">
      <x:c r="A34" s="233" t="str">
        <x:v>body</x:v>
      </x:c>
      <x:c r="B34" s="233" t="str">
        <x:v>reviewVersion.version</x:v>
      </x:c>
      <x:c r="C34" s="233" t="str">
        <x:v>string</x:v>
      </x:c>
      <x:c r="D34" s="233" t="str">
        <x:v>조건부</x:v>
      </x:c>
      <x:c r="E34" s="233" t="str">
        <x:v>v0.1 형식 버전 label</x:v>
      </x:c>
      <x:c r="F34" s="233"/>
      <x:c r="G34" s="233"/>
      <x:c r="H34" s="233"/>
    </x:row>
    <x:row r="35" ht="18" customHeight="1">
      <x:c r="A35" s="233" t="str">
        <x:v>body</x:v>
      </x:c>
      <x:c r="B35" s="233" t="str">
        <x:v>reviewVersion.isLatest</x:v>
      </x:c>
      <x:c r="C35" s="233" t="str">
        <x:v>boolean</x:v>
      </x:c>
      <x:c r="D35" s="233" t="str">
        <x:v>조건부</x:v>
      </x:c>
      <x:c r="E35" s="233" t="str">
        <x:v>현재 최신 버전 여부</x:v>
      </x:c>
      <x:c r="F35" s="233"/>
      <x:c r="G35" s="233"/>
      <x:c r="H35" s="233"/>
    </x:row>
    <x:row r="36" ht="18" customHeight="1">
      <x:c r="A36" s="233" t="str">
        <x:v>body</x:v>
      </x:c>
      <x:c r="B36" s="233" t="str">
        <x:v>reviewVersion.requestInstruction</x:v>
      </x:c>
      <x:c r="C36" s="233" t="str">
        <x:v>string</x:v>
      </x:c>
      <x:c r="D36" s="233" t="str">
        <x:v>nullable</x:v>
      </x:c>
      <x:c r="E36" s="233" t="str">
        <x:v>재첨삭 요구사항. 최초 첨삭은 null</x:v>
      </x:c>
      <x:c r="F36" s="233"/>
      <x:c r="G36" s="233"/>
      <x:c r="H36" s="233"/>
    </x:row>
    <x:row r="37" ht="18" customHeight="1">
      <x:c r="A37" s="233" t="str">
        <x:v>body</x:v>
      </x:c>
      <x:c r="B37" s="233" t="str">
        <x:v>reviewVersion.createdAt</x:v>
      </x:c>
      <x:c r="C37" s="233" t="str">
        <x:v>string</x:v>
      </x:c>
      <x:c r="D37" s="233" t="str">
        <x:v>조건부</x:v>
      </x:c>
      <x:c r="E37" s="233" t="str">
        <x:v>Asia/Seoul LocalDateTime</x:v>
      </x:c>
      <x:c r="F37" s="233"/>
      <x:c r="G37" s="233"/>
      <x:c r="H37" s="233"/>
    </x:row>
    <x:row r="38" ht="18" customHeight="1">
      <x:c r="A38" s="233" t="str">
        <x:v>body</x:v>
      </x:c>
      <x:c r="B38" s="233" t="str">
        <x:v>reviewJob</x:v>
      </x:c>
      <x:c r="C38" s="233" t="str">
        <x:v>object</x:v>
      </x:c>
      <x:c r="D38" s="233" t="str">
        <x:v>nullable</x:v>
      </x:c>
      <x:c r="E38" s="233" t="str">
        <x:v>현재 최초/재첨삭 진행 Job. 진행 중이 아니면 null</x:v>
      </x:c>
      <x:c r="F38" s="233"/>
      <x:c r="G38" s="233"/>
      <x:c r="H38" s="233"/>
    </x:row>
    <x:row r="39" ht="18" customHeight="1">
      <x:c r="A39" s="233" t="str">
        <x:v>body</x:v>
      </x:c>
      <x:c r="B39" s="233" t="str">
        <x:v>reviewJob.jobId</x:v>
      </x:c>
      <x:c r="C39" s="233" t="str">
        <x:v>string</x:v>
      </x:c>
      <x:c r="D39" s="233" t="str">
        <x:v>조건부</x:v>
      </x:c>
      <x:c r="E39" s="233" t="str">
        <x:v>API-016 연결에 사용할 Job ID</x:v>
      </x:c>
      <x:c r="F39" s="233"/>
      <x:c r="G39" s="233"/>
      <x:c r="H39" s="233"/>
    </x:row>
    <x:row r="40" ht="22.5" customHeight="1">
      <x:c r="A40" s="233" t="str">
        <x:v>body</x:v>
      </x:c>
      <x:c r="B40" s="233" t="str">
        <x:v>reviewJob.type</x:v>
      </x:c>
      <x:c r="C40" s="233" t="str">
        <x:v>string</x:v>
      </x:c>
      <x:c r="D40" s="233" t="str">
        <x:v>조건부</x:v>
      </x:c>
      <x:c r="E40" s="233" t="str">
        <x:v>COVER_LETTER_REVIEW | COVER_LETTER_RE_REVIEW</x:v>
      </x:c>
      <x:c r="F40" s="233"/>
      <x:c r="G40" s="233"/>
      <x:c r="H40" s="233"/>
    </x:row>
    <x:row r="41" ht="18" customHeight="1">
      <x:c r="A41" s="233" t="str">
        <x:v>body</x:v>
      </x:c>
      <x:c r="B41" s="233" t="str">
        <x:v>reviewJob.status</x:v>
      </x:c>
      <x:c r="C41" s="233" t="str">
        <x:v>string</x:v>
      </x:c>
      <x:c r="D41" s="233" t="str">
        <x:v>조건부</x:v>
      </x:c>
      <x:c r="E41" s="233" t="str">
        <x:v>PENDING | PROCESSING</x:v>
      </x:c>
      <x:c r="F41" s="233"/>
      <x:c r="G41" s="233"/>
      <x:c r="H41" s="233"/>
    </x:row>
    <x:row r="42" ht="18" customHeight="1">
      <x:c r="A42" s="233" t="str">
        <x:v>body</x:v>
      </x:c>
      <x:c r="B42" s="233" t="str">
        <x:v>reviewJob.progress</x:v>
      </x:c>
      <x:c r="C42" s="233" t="str">
        <x:v>object</x:v>
      </x:c>
      <x:c r="D42" s="233" t="str">
        <x:v>조건부</x:v>
      </x:c>
      <x:c r="E42" s="233" t="str">
        <x:v>문항 완료 진행률</x:v>
      </x:c>
      <x:c r="F42" s="233"/>
      <x:c r="G42" s="233"/>
      <x:c r="H42" s="233"/>
    </x:row>
    <x:row r="43" ht="18" customHeight="1">
      <x:c r="A43" s="233" t="str">
        <x:v>body</x:v>
      </x:c>
      <x:c r="B43" s="233" t="str">
        <x:v>reviewJob.progress.current</x:v>
      </x:c>
      <x:c r="C43" s="233" t="str">
        <x:v>integer</x:v>
      </x:c>
      <x:c r="D43" s="233" t="str">
        <x:v>조건부</x:v>
      </x:c>
      <x:c r="E43" s="233" t="str">
        <x:v>완료 문항 수</x:v>
      </x:c>
      <x:c r="F43" s="233"/>
      <x:c r="G43" s="233"/>
      <x:c r="H43" s="233"/>
    </x:row>
    <x:row r="44" ht="18" customHeight="1">
      <x:c r="A44" s="233" t="str">
        <x:v>body</x:v>
      </x:c>
      <x:c r="B44" s="233" t="str">
        <x:v>reviewJob.progress.total</x:v>
      </x:c>
      <x:c r="C44" s="233" t="str">
        <x:v>integer</x:v>
      </x:c>
      <x:c r="D44" s="233" t="str">
        <x:v>조건부</x:v>
      </x:c>
      <x:c r="E44" s="233" t="str">
        <x:v>전체 문항 수</x:v>
      </x:c>
      <x:c r="F44" s="233"/>
      <x:c r="G44" s="233"/>
      <x:c r="H44" s="233"/>
    </x:row>
    <x:row r="45" ht="18" customHeight="1">
      <x:c r="A45" s="233" t="str">
        <x:v>body</x:v>
      </x:c>
      <x:c r="B45" s="233" t="str">
        <x:v>reviewJob.progress.message</x:v>
      </x:c>
      <x:c r="C45" s="233" t="str">
        <x:v>string</x:v>
      </x:c>
      <x:c r="D45" s="233" t="str">
        <x:v>nullable</x:v>
      </x:c>
      <x:c r="E45" s="233" t="str">
        <x:v>사용자 표시 진행 메시지</x:v>
      </x:c>
      <x:c r="F45" s="233"/>
      <x:c r="G45" s="233"/>
      <x:c r="H45" s="233"/>
    </x:row>
    <x:row r="46" ht="18" customHeight="1">
      <x:c r="A46" s="233" t="str">
        <x:v>body</x:v>
      </x:c>
      <x:c r="B46" s="233" t="str">
        <x:v>questions</x:v>
      </x:c>
      <x:c r="C46" s="233" t="str">
        <x:v>array</x:v>
      </x:c>
      <x:c r="D46" s="233" t="str">
        <x:v>필수</x:v>
      </x:c>
      <x:c r="E46" s="233" t="str">
        <x:v>원본 순서대로 정렬된 전체 문항</x:v>
      </x:c>
      <x:c r="F46" s="233"/>
      <x:c r="G46" s="233"/>
      <x:c r="H46" s="233"/>
    </x:row>
    <x:row r="47" ht="22.5" customHeight="1">
      <x:c r="A47" s="233" t="str">
        <x:v>body</x:v>
      </x:c>
      <x:c r="B47" s="233" t="str">
        <x:v>questions[].questionResultId</x:v>
      </x:c>
      <x:c r="C47" s="233" t="str">
        <x:v>string</x:v>
      </x:c>
      <x:c r="D47" s="233" t="str">
        <x:v>nullable</x:v>
      </x:c>
      <x:c r="E47" s="233" t="str">
        <x:v>확정 ReviewVersion 문항 결과 ID. 진행 중 임시 결과는 null</x:v>
      </x:c>
      <x:c r="F47" s="233"/>
      <x:c r="G47" s="233"/>
      <x:c r="H47" s="233"/>
    </x:row>
    <x:row r="48" ht="18" customHeight="1">
      <x:c r="A48" s="233" t="str">
        <x:v>body</x:v>
      </x:c>
      <x:c r="B48" s="233" t="str">
        <x:v>questions[].questionId</x:v>
      </x:c>
      <x:c r="C48" s="233" t="str">
        <x:v>string</x:v>
      </x:c>
      <x:c r="D48" s="233" t="str">
        <x:v>필수</x:v>
      </x:c>
      <x:c r="E48" s="233" t="str">
        <x:v>원본 자기소개서 문항 ID</x:v>
      </x:c>
      <x:c r="F48" s="233"/>
      <x:c r="G48" s="233"/>
      <x:c r="H48" s="233"/>
    </x:row>
    <x:row r="49" ht="18" customHeight="1">
      <x:c r="A49" s="233" t="str">
        <x:v>body</x:v>
      </x:c>
      <x:c r="B49" s="233" t="str">
        <x:v>questions[].order</x:v>
      </x:c>
      <x:c r="C49" s="233" t="str">
        <x:v>integer</x:v>
      </x:c>
      <x:c r="D49" s="233" t="str">
        <x:v>필수</x:v>
      </x:c>
      <x:c r="E49" s="233" t="str">
        <x:v>화면 정렬 순서</x:v>
      </x:c>
      <x:c r="F49" s="233"/>
      <x:c r="G49" s="233"/>
      <x:c r="H49" s="233"/>
    </x:row>
    <x:row r="50" ht="18" customHeight="1">
      <x:c r="A50" s="233" t="str">
        <x:v>body</x:v>
      </x:c>
      <x:c r="B50" s="233" t="str">
        <x:v>questions[].question</x:v>
      </x:c>
      <x:c r="C50" s="233" t="str">
        <x:v>string</x:v>
      </x:c>
      <x:c r="D50" s="233" t="str">
        <x:v>필수</x:v>
      </x:c>
      <x:c r="E50" s="233" t="str">
        <x:v>질문 스냅샷</x:v>
      </x:c>
      <x:c r="F50" s="233"/>
      <x:c r="G50" s="233"/>
      <x:c r="H50" s="233"/>
    </x:row>
    <x:row r="51" ht="18" customHeight="1">
      <x:c r="A51" s="233" t="str">
        <x:v>body</x:v>
      </x:c>
      <x:c r="B51" s="233" t="str">
        <x:v>questions[].maxAnswerLength</x:v>
      </x:c>
      <x:c r="C51" s="233" t="str">
        <x:v>integer</x:v>
      </x:c>
      <x:c r="D51" s="233" t="str">
        <x:v>필수</x:v>
      </x:c>
      <x:c r="E51" s="233" t="str">
        <x:v>최대 답변 길이</x:v>
      </x:c>
      <x:c r="F51" s="233"/>
      <x:c r="G51" s="233"/>
      <x:c r="H51" s="233"/>
    </x:row>
    <x:row r="52" ht="18" customHeight="1">
      <x:c r="A52" s="233" t="str">
        <x:v>body</x:v>
      </x:c>
      <x:c r="B52" s="233" t="str">
        <x:v>questions[].originalAnswer</x:v>
      </x:c>
      <x:c r="C52" s="233" t="str">
        <x:v>string</x:v>
      </x:c>
      <x:c r="D52" s="233" t="str">
        <x:v>필수</x:v>
      </x:c>
      <x:c r="E52" s="233" t="str">
        <x:v>최초 첨삭은 원본 답변, 재첨삭은 이전 최신 finalAnswer</x:v>
      </x:c>
      <x:c r="F52" s="233"/>
      <x:c r="G52" s="233"/>
      <x:c r="H52" s="233"/>
    </x:row>
    <x:row r="53" ht="18" customHeight="1">
      <x:c r="A53" s="233" t="str">
        <x:v>body</x:v>
      </x:c>
      <x:c r="B53" s="233" t="str">
        <x:v>questions[].originalAnswerLength</x:v>
      </x:c>
      <x:c r="C53" s="233" t="str">
        <x:v>integer</x:v>
      </x:c>
      <x:c r="D53" s="233" t="str">
        <x:v>필수</x:v>
      </x:c>
      <x:c r="E53" s="233" t="str">
        <x:v>Unicode code point 기준</x:v>
      </x:c>
      <x:c r="F53" s="233"/>
      <x:c r="G53" s="233"/>
      <x:c r="H53" s="233"/>
    </x:row>
    <x:row r="54" ht="18" customHeight="1">
      <x:c r="A54" s="233" t="str">
        <x:v>body</x:v>
      </x:c>
      <x:c r="B54" s="233" t="str">
        <x:v>questions[].aiReport</x:v>
      </x:c>
      <x:c r="C54" s="233" t="str">
        <x:v>string</x:v>
      </x:c>
      <x:c r="D54" s="233" t="str">
        <x:v>nullable</x:v>
      </x:c>
      <x:c r="E54" s="233" t="str">
        <x:v>문항 결과가 완성되기 전 null</x:v>
      </x:c>
      <x:c r="F54" s="233"/>
      <x:c r="G54" s="233"/>
      <x:c r="H54" s="233"/>
    </x:row>
    <x:row r="55" ht="18" customHeight="1">
      <x:c r="A55" s="233" t="str">
        <x:v>body</x:v>
      </x:c>
      <x:c r="B55" s="233" t="str">
        <x:v>questions[].rewrittenAnswer</x:v>
      </x:c>
      <x:c r="C55" s="233" t="str">
        <x:v>string</x:v>
      </x:c>
      <x:c r="D55" s="233" t="str">
        <x:v>nullable</x:v>
      </x:c>
      <x:c r="E55" s="233" t="str">
        <x:v>문항 결과가 완성되기 전 null</x:v>
      </x:c>
      <x:c r="F55" s="233"/>
      <x:c r="G55" s="233"/>
      <x:c r="H55" s="233"/>
    </x:row>
    <x:row r="56" ht="18" customHeight="1">
      <x:c r="A56" s="233" t="str">
        <x:v>body</x:v>
      </x:c>
      <x:c r="B56" s="233" t="str">
        <x:v>questions[].rewrittenAnswerLength</x:v>
      </x:c>
      <x:c r="C56" s="233" t="str">
        <x:v>integer</x:v>
      </x:c>
      <x:c r="D56" s="233" t="str">
        <x:v>nullable</x:v>
      </x:c>
      <x:c r="E56" s="233" t="str">
        <x:v>문항 결과가 완성되기 전 null</x:v>
      </x:c>
      <x:c r="F56" s="233"/>
      <x:c r="G56" s="233"/>
      <x:c r="H56" s="233"/>
    </x:row>
    <x:row r="57" ht="18" customHeight="1">
      <x:c r="A57" s="233" t="str">
        <x:v>body</x:v>
      </x:c>
      <x:c r="B57" s="233" t="str">
        <x:v>questions[].finalAnswer</x:v>
      </x:c>
      <x:c r="C57" s="233" t="str">
        <x:v>string</x:v>
      </x:c>
      <x:c r="D57" s="233" t="str">
        <x:v>nullable</x:v>
      </x:c>
      <x:c r="E57" s="233" t="str">
        <x:v>완료 시 rewrittenAnswer로 초기화</x:v>
      </x:c>
      <x:c r="F57" s="233"/>
      <x:c r="G57" s="233"/>
      <x:c r="H57" s="233"/>
    </x:row>
    <x:row r="58" ht="18" customHeight="1">
      <x:c r="A58" s="233" t="str">
        <x:v>body</x:v>
      </x:c>
      <x:c r="B58" s="233" t="str">
        <x:v>questions[].finalAnswerLength</x:v>
      </x:c>
      <x:c r="C58" s="233" t="str">
        <x:v>integer</x:v>
      </x:c>
      <x:c r="D58" s="233" t="str">
        <x:v>nullable</x:v>
      </x:c>
      <x:c r="E58" s="233" t="str">
        <x:v>문항 결과가 완성되기 전 null</x:v>
      </x:c>
      <x:c r="F58" s="233"/>
      <x:c r="G58" s="233"/>
      <x:c r="H58" s="233"/>
    </x:row>
    <x:row r="60" ht="19.5" customHeight="1">
      <x:c r="A60" s="208" t="str">
        <x:v>오류 응답</x:v>
      </x:c>
      <x:c r="B60" s="208"/>
      <x:c r="C60" s="208"/>
      <x:c r="D60" s="208"/>
      <x:c r="E60" s="208"/>
      <x:c r="F60" s="208"/>
      <x:c r="G60" s="208"/>
      <x:c r="H60" s="208"/>
    </x:row>
    <x:row r="61">
      <x:c r="A61" s="228" t="str">
        <x:v>HTTP 상태</x:v>
      </x:c>
      <x:c r="B61" s="228" t="str">
        <x:v>오류 코드</x:v>
      </x:c>
      <x:c r="C61" s="228" t="str">
        <x:v>발생 조건</x:v>
      </x:c>
      <x:c r="D61" s="228" t="str">
        <x:v>프론트 처리</x:v>
      </x:c>
      <x:c r="E61" s="228"/>
      <x:c r="F61" s="228" t="str">
        <x:v>현재 상태</x:v>
      </x:c>
      <x:c r="G61" s="228"/>
      <x:c r="H61" s="228"/>
    </x:row>
    <x:row r="62" ht="21" customHeight="1">
      <x:c r="A62" s="233" t="str">
        <x:v>401 Unauthorized</x:v>
      </x:c>
      <x:c r="B62" s="233" t="str">
        <x:v>UNAUTHORIZED</x:v>
      </x:c>
      <x:c r="C62" s="233" t="str">
        <x:v>인증 cookie가 없거나 유효하지 않음</x:v>
      </x:c>
      <x:c r="D62" s="233" t="str">
        <x:v>로그인 화면으로 이동</x:v>
      </x:c>
      <x:c r="E62" s="233"/>
      <x:c r="F62" s="233" t="str">
        <x:v>계약 정의·인증 미구현</x:v>
      </x:c>
      <x:c r="G62" s="233"/>
      <x:c r="H62" s="233"/>
    </x:row>
    <x:row r="63" ht="21" customHeight="1">
      <x:c r="A63" s="233" t="str">
        <x:v>404 Not Found</x:v>
      </x:c>
      <x:c r="B63" s="233" t="str">
        <x:v>NOT_FOUND</x:v>
      </x:c>
      <x:c r="C63" s="233" t="str">
        <x:v>리소스가 없거나 소유자가 다르거나 삭제됨</x:v>
      </x:c>
      <x:c r="D63" s="233" t="str">
        <x:v>목록으로 이동하거나 삭제 상태 반영</x:v>
      </x:c>
      <x:c r="E63" s="233"/>
      <x:c r="F63" s="233" t="str">
        <x:v>현재 구현/신규 API는 구현 예정</x:v>
      </x:c>
      <x:c r="G63" s="233"/>
      <x:c r="H63" s="233"/>
    </x:row>
    <x:row r="64" ht="21" customHeight="1">
      <x:c r="A64" s="233" t="str">
        <x:v>500 Internal Server Error</x:v>
      </x:c>
      <x:c r="B64" s="233" t="str">
        <x:v>INTERNAL_ERROR</x:v>
      </x:c>
      <x:c r="C64" s="233" t="str">
        <x:v>예상하지 못한 서버 오류</x:v>
      </x:c>
      <x:c r="D64" s="233" t="str">
        <x:v>재시도 안내 후 지속 시 오류 정보 전달</x:v>
      </x:c>
      <x:c r="E64" s="233"/>
      <x:c r="F64" s="233" t="str">
        <x:v>공통 처리</x:v>
      </x:c>
      <x:c r="G64" s="233"/>
      <x:c r="H64" s="233"/>
    </x:row>
    <x:row r="66" ht="19.5" customHeight="1">
      <x:c r="A66" s="208" t="str">
        <x:v>프론트엔드 구현 메모</x:v>
      </x:c>
      <x:c r="B66" s="208"/>
      <x:c r="C66" s="208"/>
      <x:c r="D66" s="208"/>
      <x:c r="E66" s="208"/>
      <x:c r="F66" s="208"/>
      <x:c r="G66" s="208"/>
      <x:c r="H66" s="208"/>
    </x:row>
    <x:row r="67" ht="36" customHeight="1">
      <x:c r="A67" s="233" t="str">
        <x:v>현재 endpoint는 구현되어 있으나 응답을 API-012와 같은 공통 구조로 전환해야 한다. API-018은 버전 히스토리에서 선택한 특정 버전 조회 전용이며, 최신 버전 화면은 API-012 응답을 사용한다.</x:v>
      </x:c>
      <x:c r="B67" s="233"/>
      <x:c r="C67" s="233"/>
      <x:c r="D67" s="233"/>
      <x:c r="E67" s="233"/>
      <x:c r="F67" s="233"/>
      <x:c r="G67" s="233"/>
      <x:c r="H67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E20:H20"/>
    <x:mergeCell ref="A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E36:H36"/>
    <x:mergeCell ref="E37:H37"/>
    <x:mergeCell ref="E38:H38"/>
    <x:mergeCell ref="E39:H39"/>
    <x:mergeCell ref="E40:H40"/>
    <x:mergeCell ref="E41:H41"/>
    <x:mergeCell ref="E42:H42"/>
    <x:mergeCell ref="E43:H43"/>
    <x:mergeCell ref="E44:H44"/>
    <x:mergeCell ref="E45:H45"/>
    <x:mergeCell ref="E46:H46"/>
    <x:mergeCell ref="E47:H47"/>
    <x:mergeCell ref="E48:H48"/>
    <x:mergeCell ref="E49:H49"/>
    <x:mergeCell ref="E50:H50"/>
    <x:mergeCell ref="E51:H51"/>
    <x:mergeCell ref="E52:H52"/>
    <x:mergeCell ref="E53:H53"/>
    <x:mergeCell ref="E54:H54"/>
    <x:mergeCell ref="E55:H55"/>
    <x:mergeCell ref="E56:H56"/>
    <x:mergeCell ref="E57:H57"/>
    <x:mergeCell ref="E58:H58"/>
    <x:mergeCell ref="A60:H60"/>
    <x:mergeCell ref="D61:E61"/>
    <x:mergeCell ref="F61:H61"/>
    <x:mergeCell ref="D62:E62"/>
    <x:mergeCell ref="F62:H62"/>
    <x:mergeCell ref="D63:E63"/>
    <x:mergeCell ref="F63:H63"/>
    <x:mergeCell ref="D64:E64"/>
    <x:mergeCell ref="F64:H64"/>
    <x:mergeCell ref="A66:H66"/>
    <x:mergeCell ref="A67:H67"/>
  </x:mergeCells>
  <x:pageMargins left="0.7" right="0.7" top="0.75" bottom="0.75" header="0.3" footer="0.3"/>
  <x:pageSetup paperSize="9" orientation="landscape" fitToWidth="1" fitToHeight="0"/>
</x:worksheet>
</file>

<file path=xl/worksheets/sheet20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API-019  ·  최종 작성본 일괄 저장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PUT /cover-letters/{coverLetterId}/review-versions/{versionId}/final-answers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PUT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/cover-letters/{coverLetterId}/review-versions/{versionId}/final-answers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최종 작성본 일괄 저장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266" customHeight="1">
      <x:c r="A11" s="115" t="inlineStr">
        <x:is>
          <x:t xml:space="preserve">PUT /cover-letters/cl_01HZ.../review-versions/rv_01HZ.../final-answers HTTP/1.1
Accept: application/json
Cookie: access_token=&lt;access_token&gt;
X-CSRF-Token: &lt;csrf-token&gt;
Content-Type: application/json
{
  "answers": [
    {
      "questionResultId": "rvqr_01HZ...",
      "finalAnswer": "저는 백엔드 개발자로서..."
    },
    {
      "questionResultId": "rvqr_01HY...",
      "finalAnswer": "저는 프로젝트에서..."
    }
  ]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294" customHeight="1">
      <x:c r="A14" s="115" t="inlineStr">
        <x:is>
          <x:t xml:space="preserve">HTTP/1.1 200 OK
Content-Type: application/json
{
  "coverLetterId": "cl_01HZ...",
  "reviewVersionId": "rv_01HZ...",
  "questionResults": [
    {
      "questionResultId": "rvqr_01HZ...",
      "finalAnswer": "저는 백엔드 개발자로서...",
      "finalAnswerLength": 810
    },
    {
      "questionResultId": "rvqr_01HY...",
      "finalAnswer": "저는 프로젝트에서...",
      "finalAnswerLength": 920
    }
  ],
  "updatedAt": "2026-06-20T14:40:00"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path</x:t>
        </x:is>
      </x:c>
      <x:c r="B19" s="47" t="inlineStr">
        <x:is>
          <x:t xml:space="preserve">versionId</x:t>
        </x:is>
      </x:c>
      <x:c r="C19" s="47" t="inlineStr">
        <x:is>
          <x:t xml:space="preserve">string</x:t>
        </x:is>
      </x:c>
      <x:c r="D19" s="47" t="inlineStr">
        <x:is>
          <x:t xml:space="preserve">필수</x:t>
        </x:is>
      </x:c>
      <x:c r="E19" s="70" t="inlineStr">
        <x:is>
          <x:t xml:space="preserve">첨삭 버전 ID</x:t>
        </x:is>
      </x:c>
    </x:row>
    <x:row r="20">
      <x:c r="A20" s="69" t="inlineStr">
        <x:is>
          <x:t xml:space="preserve">cookie</x:t>
        </x:is>
      </x:c>
      <x:c r="B20" s="47" t="inlineStr">
        <x:is>
          <x:t xml:space="preserve">access_token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현재 사용자 인증 cookie</x:t>
        </x:is>
      </x:c>
    </x:row>
    <x:row r="21">
      <x:c r="A21" s="69" t="inlineStr">
        <x:is>
          <x:t xml:space="preserve">header</x:t>
        </x:is>
      </x:c>
      <x:c r="B21" s="47" t="inlineStr">
        <x:is>
          <x:t xml:space="preserve">X-CSRF-Token</x:t>
        </x:is>
      </x:c>
      <x:c r="C21" s="47" t="inlineStr">
        <x:is>
          <x:t xml:space="preserve">string</x:t>
        </x:is>
      </x:c>
      <x:c r="D21" s="47" t="inlineStr">
        <x:is>
          <x:t xml:space="preserve">계약상 필수 (현재 미검증)</x:t>
        </x:is>
      </x:c>
      <x:c r="E21" s="70" t="inlineStr">
        <x:is>
          <x:t xml:space="preserve">상태 변경 요청용 CSRF 토큰</x:t>
        </x:is>
      </x:c>
    </x:row>
    <x:row r="22">
      <x:c r="A22" s="69" t="inlineStr">
        <x:is>
          <x:t xml:space="preserve">body</x:t>
        </x:is>
      </x:c>
      <x:c r="B22" s="47" t="inlineStr">
        <x:is>
          <x:t xml:space="preserve">answers</x:t>
        </x:is>
      </x:c>
      <x:c r="C22" s="47" t="inlineStr">
        <x:is>
          <x:t xml:space="preserve">array&lt;object&gt;</x:t>
        </x:is>
      </x:c>
      <x:c r="D22" s="47" t="inlineStr">
        <x:is>
          <x:t xml:space="preserve">필수</x:t>
        </x:is>
      </x:c>
      <x:c r="E22" s="70" t="inlineStr">
        <x:is>
          <x:t xml:space="preserve">해당 버전 전체 문항의 최종 답변 목록</x:t>
        </x:is>
      </x:c>
    </x:row>
    <x:row r="23">
      <x:c r="A23" s="69" t="inlineStr">
        <x:is>
          <x:t xml:space="preserve">body</x:t>
        </x:is>
      </x:c>
      <x:c r="B23" s="47" t="inlineStr">
        <x:is>
          <x:t xml:space="preserve">answers[].questionResultId</x:t>
        </x:is>
      </x:c>
      <x:c r="C23" s="47" t="inlineStr">
        <x:is>
          <x:t xml:space="preserve">string</x:t>
        </x:is>
      </x:c>
      <x:c r="D23" s="47" t="inlineStr">
        <x:is>
          <x:t xml:space="preserve">필수</x:t>
        </x:is>
      </x:c>
      <x:c r="E23" s="70" t="inlineStr">
        <x:is>
          <x:t xml:space="preserve">첨삭 문항 결과 ID; 중복 불가</x:t>
        </x:is>
      </x:c>
    </x:row>
    <x:row r="24">
      <x:c r="A24" s="71" t="inlineStr">
        <x:is>
          <x:t xml:space="preserve">body</x:t>
        </x:is>
      </x:c>
      <x:c r="B24" s="48" t="inlineStr">
        <x:is>
          <x:t xml:space="preserve">answers[].finalAnswer</x:t>
        </x:is>
      </x:c>
      <x:c r="C24" s="48" t="inlineStr">
        <x:is>
          <x:t xml:space="preserve">string</x:t>
        </x:is>
      </x:c>
      <x:c r="D24" s="48" t="inlineStr">
        <x:is>
          <x:t xml:space="preserve">필수</x:t>
        </x:is>
      </x:c>
      <x:c r="E24" s="72" t="inlineStr">
        <x:is>
          <x:t xml:space="preserve">최종 작성본; trim 후 1~5000자</x:t>
        </x:is>
      </x:c>
    </x:row>
    <x:row r="26" ht="24" customHeight="1">
      <x:c r="A26" s="113" t="inlineStr">
        <x:is>
          <x:t xml:space="preserve">응답 필드 설명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필드 경로</x:t>
        </x:is>
      </x:c>
      <x:c r="B27" s="10" t="inlineStr">
        <x:is>
          <x:t xml:space="preserve">타입</x:t>
        </x:is>
      </x:c>
      <x:c r="C27" s="10" t="inlineStr">
        <x:is>
          <x:t xml:space="preserve">필수/nullable</x:t>
        </x:is>
      </x:c>
      <x:c r="D27" s="11" t="inlineStr">
        <x:is>
          <x:t xml:space="preserve">필드 의미</x:t>
        </x:is>
      </x:c>
    </x:row>
    <x:row r="28">
      <x:c r="A28" s="67" t="inlineStr">
        <x:is>
          <x:t xml:space="preserve">coverLetterId</x:t>
        </x:is>
      </x:c>
      <x:c r="B28" s="46" t="inlineStr">
        <x:is>
          <x:t xml:space="preserve">string</x:t>
        </x:is>
      </x:c>
      <x:c r="C28" s="46" t="inlineStr">
        <x:is>
          <x:t xml:space="preserve">필수</x:t>
        </x:is>
      </x:c>
      <x:c r="D28" s="68" t="inlineStr">
        <x:is>
          <x:t xml:space="preserve">자기소개서 ID</x:t>
        </x:is>
      </x:c>
    </x:row>
    <x:row r="29">
      <x:c r="A29" s="69" t="inlineStr">
        <x:is>
          <x:t xml:space="preserve">reviewVersionId</x:t>
        </x:is>
      </x:c>
      <x:c r="B29" s="47" t="inlineStr">
        <x:is>
          <x:t xml:space="preserve">string</x:t>
        </x:is>
      </x:c>
      <x:c r="C29" s="47" t="inlineStr">
        <x:is>
          <x:t xml:space="preserve">필수</x:t>
        </x:is>
      </x:c>
      <x:c r="D29" s="70" t="inlineStr">
        <x:is>
          <x:t xml:space="preserve">reviewVersionId 값</x:t>
        </x:is>
      </x:c>
    </x:row>
    <x:row r="30">
      <x:c r="A30" s="69" t="inlineStr">
        <x:is>
          <x:t xml:space="preserve">questionResults</x:t>
        </x:is>
      </x:c>
      <x:c r="B30" s="47" t="inlineStr">
        <x:is>
          <x:t xml:space="preserve">array</x:t>
        </x:is>
      </x:c>
      <x:c r="C30" s="47" t="inlineStr">
        <x:is>
          <x:t xml:space="preserve">필수</x:t>
        </x:is>
      </x:c>
      <x:c r="D30" s="70" t="inlineStr">
        <x:is>
          <x:t xml:space="preserve">questionResults 값</x:t>
        </x:is>
      </x:c>
    </x:row>
    <x:row r="31">
      <x:c r="A31" s="69" t="inlineStr">
        <x:is>
          <x:t xml:space="preserve">questionResults[].questionResultId</x:t>
        </x:is>
      </x:c>
      <x:c r="B31" s="47" t="inlineStr">
        <x:is>
          <x:t xml:space="preserve">string</x:t>
        </x:is>
      </x:c>
      <x:c r="C31" s="47" t="inlineStr">
        <x:is>
          <x:t xml:space="preserve">필수</x:t>
        </x:is>
      </x:c>
      <x:c r="D31" s="70" t="inlineStr">
        <x:is>
          <x:t xml:space="preserve">첨삭 문항 결과 ID</x:t>
        </x:is>
      </x:c>
    </x:row>
    <x:row r="32">
      <x:c r="A32" s="69" t="inlineStr">
        <x:is>
          <x:t xml:space="preserve">questionResults[].finalAnswer</x:t>
        </x:is>
      </x:c>
      <x:c r="B32" s="47" t="inlineStr">
        <x:is>
          <x:t xml:space="preserve">string</x:t>
        </x:is>
      </x:c>
      <x:c r="C32" s="47" t="inlineStr">
        <x:is>
          <x:t xml:space="preserve">필수</x:t>
        </x:is>
      </x:c>
      <x:c r="D32" s="70" t="inlineStr">
        <x:is>
          <x:t xml:space="preserve">사용자가 확정한 최종 답변</x:t>
        </x:is>
      </x:c>
    </x:row>
    <x:row r="33">
      <x:c r="A33" s="69" t="inlineStr">
        <x:is>
          <x:t xml:space="preserve">questionResults[].finalAnswerLength</x:t>
        </x:is>
      </x:c>
      <x:c r="B33" s="47" t="inlineStr">
        <x:is>
          <x:t xml:space="preserve">integer</x:t>
        </x:is>
      </x:c>
      <x:c r="C33" s="47" t="inlineStr">
        <x:is>
          <x:t xml:space="preserve">필수</x:t>
        </x:is>
      </x:c>
      <x:c r="D33" s="70" t="inlineStr">
        <x:is>
          <x:t xml:space="preserve">최종 답변 글자 수</x:t>
        </x:is>
      </x:c>
    </x:row>
    <x:row r="34">
      <x:c r="A34" s="71" t="inlineStr">
        <x:is>
          <x:t xml:space="preserve">updatedAt</x:t>
        </x:is>
      </x:c>
      <x:c r="B34" s="48" t="inlineStr">
        <x:is>
          <x:t xml:space="preserve">string</x:t>
        </x:is>
      </x:c>
      <x:c r="C34" s="48" t="inlineStr">
        <x:is>
          <x:t xml:space="preserve">필수</x:t>
        </x:is>
      </x:c>
      <x:c r="D34" s="72" t="inlineStr">
        <x:is>
          <x:t xml:space="preserve">최근 수정 일시</x:t>
        </x:is>
      </x:c>
    </x:row>
    <x:row r="36" ht="24" customHeight="1">
      <x:c r="A36" s="113" t="inlineStr">
        <x:is>
          <x:t xml:space="preserve">오류 응답</x:t>
        </x:is>
      </x:c>
      <x:c r="B36" s="106" t="n"/>
      <x:c r="C36" s="106" t="n"/>
      <x:c r="D36" s="106" t="n"/>
      <x:c r="E36" s="106" t="n"/>
      <x:c r="F36" s="106" t="n"/>
      <x:c r="G36" s="106" t="n"/>
      <x:c r="H36" s="106" t="n"/>
    </x:row>
    <x:row r="37">
      <x:c r="A37" s="9" t="inlineStr">
        <x:is>
          <x:t xml:space="preserve">HTTP 상태</x:t>
        </x:is>
      </x:c>
      <x:c r="B37" s="10" t="inlineStr">
        <x:is>
          <x:t xml:space="preserve">오류 코드</x:t>
        </x:is>
      </x:c>
      <x:c r="C37" s="10" t="inlineStr">
        <x:is>
          <x:t xml:space="preserve">발생 조건</x:t>
        </x:is>
      </x:c>
      <x:c r="D37" s="10" t="inlineStr">
        <x:is>
          <x:t xml:space="preserve">프론트 처리</x:t>
        </x:is>
      </x:c>
      <x:c r="E37" s="11" t="inlineStr">
        <x:is>
          <x:t xml:space="preserve">현재 상태</x:t>
        </x:is>
      </x:c>
    </x:row>
    <x:row r="38">
      <x:c r="A38" s="67" t="inlineStr">
        <x:is>
          <x:t xml:space="preserve">409 Conflict</x:t>
        </x:is>
      </x:c>
      <x:c r="B38" s="46" t="inlineStr">
        <x:is>
          <x:t xml:space="preserve">REVIEW_VERSION_NOT_LATEST</x:t>
        </x:is>
      </x:c>
      <x:c r="C38" s="46" t="inlineStr">
        <x:is>
          <x:t xml:space="preserve">최신 첨삭 버전의 최종 작성본만 수정할 수 있습니다.</x:t>
        </x:is>
      </x:c>
      <x:c r="D38" s="46" t="inlineStr">
        <x:is>
          <x:t xml:space="preserve">최신 버전을 다시 조회</x:t>
        </x:is>
      </x:c>
      <x:c r="E38" s="68" t="inlineStr">
        <x:is>
          <x:t xml:space="preserve">현재 구현</x:t>
        </x:is>
      </x:c>
    </x:row>
    <x:row r="39">
      <x:c r="A39" s="69" t="inlineStr">
        <x:is>
          <x:t xml:space="preserve">400 Bad Request</x:t>
        </x:is>
      </x:c>
      <x:c r="B39" s="47" t="inlineStr">
        <x:is>
          <x:t xml:space="preserve">VALIDATION_ERROR</x:t>
        </x:is>
      </x:c>
      <x:c r="C39" s="47" t="inlineStr">
        <x:is>
          <x:t xml:space="preserve">요청 값이 제약 조건을 위반함</x:t>
        </x:is>
      </x:c>
      <x:c r="D39" s="47" t="inlineStr">
        <x:is>
          <x:t xml:space="preserve">error.details의 field/reason을 입력 항목에 표시</x:t>
        </x:is>
      </x:c>
      <x:c r="E39" s="70" t="inlineStr">
        <x:is>
          <x:t xml:space="preserve">현재 구현</x:t>
        </x:is>
      </x:c>
    </x:row>
    <x:row r="40">
      <x:c r="A40" s="69" t="inlineStr">
        <x:is>
          <x:t xml:space="preserve">401 Unauthorized</x:t>
        </x:is>
      </x:c>
      <x:c r="B40" s="47" t="inlineStr">
        <x:is>
          <x:t xml:space="preserve">UNAUTHORIZED</x:t>
        </x:is>
      </x:c>
      <x:c r="C40" s="47" t="inlineStr">
        <x:is>
          <x:t xml:space="preserve">인증 쿠키가 없거나 유효하지 않음</x:t>
        </x:is>
      </x:c>
      <x:c r="D40" s="47" t="inlineStr">
        <x:is>
          <x:t xml:space="preserve">로그인 화면으로 이동</x:t>
        </x:is>
      </x:c>
      <x:c r="E40" s="70" t="inlineStr">
        <x:is>
          <x:t xml:space="preserve">계약 정의·인증 미구현</x:t>
        </x:is>
      </x:c>
    </x:row>
    <x:row r="41">
      <x:c r="A41" s="69" t="inlineStr">
        <x:is>
          <x:t xml:space="preserve">403 Forbidden</x:t>
        </x:is>
      </x:c>
      <x:c r="B41" s="47" t="inlineStr">
        <x:is>
          <x:t xml:space="preserve">CSRF_INVALID</x:t>
        </x:is>
      </x:c>
      <x:c r="C41" s="47" t="inlineStr">
        <x:is>
          <x:t xml:space="preserve">CSRF 토큰이 없거나 일치하지 않음</x:t>
        </x:is>
      </x:c>
      <x:c r="D41" s="47" t="inlineStr">
        <x:is>
          <x:t xml:space="preserve">토큰 갱신 후 1회 재시도</x:t>
        </x:is>
      </x:c>
      <x:c r="E41" s="70" t="inlineStr">
        <x:is>
          <x:t xml:space="preserve">계약 정의·CSRF 미구현</x:t>
        </x:is>
      </x:c>
    </x:row>
    <x:row r="42">
      <x:c r="A42" s="69" t="inlineStr">
        <x:is>
          <x:t xml:space="preserve">404 Not Found</x:t>
        </x:is>
      </x:c>
      <x:c r="B42" s="47" t="inlineStr">
        <x:is>
          <x:t xml:space="preserve">NOT_FOUND</x:t>
        </x:is>
      </x:c>
      <x:c r="C42" s="47" t="inlineStr">
        <x:is>
          <x:t xml:space="preserve">대상이 없거나 접근 권한이 없음</x:t>
        </x:is>
      </x:c>
      <x:c r="D42" s="47" t="inlineStr">
        <x:is>
          <x:t xml:space="preserve">목록으로 이동하거나 삭제 상태 반영</x:t>
        </x:is>
      </x:c>
      <x:c r="E42" s="70" t="inlineStr">
        <x:is>
          <x:t xml:space="preserve">현재 구현</x:t>
        </x:is>
      </x:c>
    </x:row>
    <x:row r="43">
      <x:c r="A43" s="71" t="inlineStr">
        <x:is>
          <x:t xml:space="preserve">500 Internal Server Error</x:t>
        </x:is>
      </x:c>
      <x:c r="B43" s="48" t="inlineStr">
        <x:is>
          <x:t xml:space="preserve">INTERNAL_ERROR</x:t>
        </x:is>
      </x:c>
      <x:c r="C43" s="48" t="inlineStr">
        <x:is>
          <x:t xml:space="preserve">예상하지 못한 서버 오류</x:t>
        </x:is>
      </x:c>
      <x:c r="D43" s="48" t="inlineStr">
        <x:is>
          <x:t xml:space="preserve">재시도 안내 후 지속 시 오류 정보 전달</x:t>
        </x:is>
      </x:c>
      <x:c r="E43" s="72" t="inlineStr">
        <x:is>
          <x:t xml:space="preserve">현재 구현</x:t>
        </x:is>
      </x:c>
    </x:row>
  </x:sheetData>
  <x:mergeCells>
    <x:mergeCell ref="A4:H4"/>
    <x:mergeCell ref="A26:H26"/>
    <x:mergeCell ref="A16:H16"/>
    <x:mergeCell ref="A10:H10"/>
    <x:mergeCell ref="B2:H2"/>
    <x:mergeCell ref="A11:H11"/>
    <x:mergeCell ref="A13:H13"/>
    <x:mergeCell ref="A14:H14"/>
    <x:mergeCell ref="A1:H1"/>
    <x:mergeCell ref="A36:H36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2f9925a68436432c"/>
    <x:tablePart xmlns:r="http://schemas.openxmlformats.org/officeDocument/2006/relationships" r:id="R32a606dd2e4a47b7"/>
    <x:tablePart xmlns:r="http://schemas.openxmlformats.org/officeDocument/2006/relationships" r:id="R3a89f1bdde7840c9"/>
  </x:tableParts>
</x:worksheet>
</file>

<file path=xl/worksheets/sheet2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API-020  ·  키워드 분석 시작/재분석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/cover-letters/{coverLetterId}/keyword-analysis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/cover-letters/{coverLetterId}/keyword-analysis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키워드 분석 시작/재분석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40" customHeight="1">
      <x:c r="A11" s="115" t="inlineStr">
        <x:is>
          <x:t xml:space="preserve">POST /cover-letters/cl_01HZ.../keyword-analysis HTTP/1.1
Accept: application/json
Cookie: access_token=&lt;access_token&gt;
X-CSRF-Token: &lt;csrf-token&gt;
Content-Type: application/json
{
  "sourceReviewVersionId": "rv_01HZ..."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40" customHeight="1">
      <x:c r="A14" s="115" t="inlineStr">
        <x:is>
          <x:t xml:space="preserve">HTTP/1.1 200 OK
Content-Type: application/json
{
  "jobId": "job_01HZ...",
  "keywordAnalysisId": "ka_01HZ...",
  "coverLetterId": "cl_01HZ...",
  "status": "PROCESSING"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71" t="inlineStr">
        <x:is>
          <x:t xml:space="preserve">body</x:t>
        </x:is>
      </x:c>
      <x:c r="B21" s="48" t="inlineStr">
        <x:is>
          <x:t xml:space="preserve">sourceReviewVersionId</x:t>
        </x:is>
      </x:c>
      <x:c r="C21" s="48" t="inlineStr">
        <x:is>
          <x:t xml:space="preserve">string</x:t>
        </x:is>
      </x:c>
      <x:c r="D21" s="48" t="inlineStr">
        <x:is>
          <x:t xml:space="preserve">선택</x:t>
        </x:is>
      </x:c>
      <x:c r="E21" s="72" t="inlineStr">
        <x:is>
          <x:t xml:space="preserve">분석 기준 첨삭 버전 ID; 생략 시 최신 버전</x:t>
        </x:is>
      </x:c>
    </x:row>
    <x:row r="23" ht="24" customHeight="1">
      <x:c r="A23" s="113" t="inlineStr">
        <x:is>
          <x:t xml:space="preserve">응답 필드 설명</x:t>
        </x:is>
      </x:c>
      <x:c r="B23" s="106" t="n"/>
      <x:c r="C23" s="106" t="n"/>
      <x:c r="D23" s="106" t="n"/>
      <x:c r="E23" s="106" t="n"/>
      <x:c r="F23" s="106" t="n"/>
      <x:c r="G23" s="106" t="n"/>
      <x:c r="H23" s="106" t="n"/>
    </x:row>
    <x:row r="24">
      <x:c r="A24" s="9" t="inlineStr">
        <x:is>
          <x:t xml:space="preserve">필드 경로</x:t>
        </x:is>
      </x:c>
      <x:c r="B24" s="10" t="inlineStr">
        <x:is>
          <x:t xml:space="preserve">타입</x:t>
        </x:is>
      </x:c>
      <x:c r="C24" s="10" t="inlineStr">
        <x:is>
          <x:t xml:space="preserve">필수/nullable</x:t>
        </x:is>
      </x:c>
      <x:c r="D24" s="11" t="inlineStr">
        <x:is>
          <x:t xml:space="preserve">필드 의미</x:t>
        </x:is>
      </x:c>
    </x:row>
    <x:row r="25">
      <x:c r="A25" s="67" t="inlineStr">
        <x:is>
          <x:t xml:space="preserve">jobId</x:t>
        </x:is>
      </x:c>
      <x:c r="B25" s="46" t="inlineStr">
        <x:is>
          <x:t xml:space="preserve">string</x:t>
        </x:is>
      </x:c>
      <x:c r="C25" s="46" t="inlineStr">
        <x:is>
          <x:t xml:space="preserve">필수</x:t>
        </x:is>
      </x:c>
      <x:c r="D25" s="68" t="inlineStr">
        <x:is>
          <x:t xml:space="preserve">LLM Job ID</x:t>
        </x:is>
      </x:c>
    </x:row>
    <x:row r="26">
      <x:c r="A26" s="69" t="inlineStr">
        <x:is>
          <x:t xml:space="preserve">keywordAnalysisId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키워드 분석 ID</x:t>
        </x:is>
      </x:c>
    </x:row>
    <x:row r="27">
      <x:c r="A27" s="69" t="inlineStr">
        <x:is>
          <x:t xml:space="preserve">coverLetterId</x:t>
        </x:is>
      </x:c>
      <x:c r="B27" s="47" t="inlineStr">
        <x:is>
          <x:t xml:space="preserve">string</x:t>
        </x:is>
      </x:c>
      <x:c r="C27" s="47" t="inlineStr">
        <x:is>
          <x:t xml:space="preserve">필수</x:t>
        </x:is>
      </x:c>
      <x:c r="D27" s="70" t="inlineStr">
        <x:is>
          <x:t xml:space="preserve">자기소개서 ID</x:t>
        </x:is>
      </x:c>
    </x:row>
    <x:row r="28">
      <x:c r="A28" s="71" t="inlineStr">
        <x:is>
          <x:t xml:space="preserve">status</x:t>
        </x:is>
      </x:c>
      <x:c r="B28" s="48" t="inlineStr">
        <x:is>
          <x:t xml:space="preserve">string</x:t>
        </x:is>
      </x:c>
      <x:c r="C28" s="48" t="inlineStr">
        <x:is>
          <x:t xml:space="preserve">필수</x:t>
        </x:is>
      </x:c>
      <x:c r="D28" s="72" t="inlineStr">
        <x:is>
          <x:t xml:space="preserve">현재 처리/리소스 상태; 고정값: PROCESSING</x:t>
        </x:is>
      </x:c>
    </x:row>
    <x:row r="30" ht="24" customHeight="1">
      <x:c r="A30" s="113" t="inlineStr">
        <x:is>
          <x:t xml:space="preserve">오류 응답</x:t>
        </x:is>
      </x:c>
      <x:c r="B30" s="106" t="n"/>
      <x:c r="C30" s="106" t="n"/>
      <x:c r="D30" s="106" t="n"/>
      <x:c r="E30" s="106" t="n"/>
      <x:c r="F30" s="106" t="n"/>
      <x:c r="G30" s="106" t="n"/>
      <x:c r="H30" s="106" t="n"/>
    </x:row>
    <x:row r="31">
      <x:c r="A31" s="9" t="inlineStr">
        <x:is>
          <x:t xml:space="preserve">HTTP 상태</x:t>
        </x:is>
      </x:c>
      <x:c r="B31" s="10" t="inlineStr">
        <x:is>
          <x:t xml:space="preserve">오류 코드</x:t>
        </x:is>
      </x:c>
      <x:c r="C31" s="10" t="inlineStr">
        <x:is>
          <x:t xml:space="preserve">발생 조건</x:t>
        </x:is>
      </x:c>
      <x:c r="D31" s="10" t="inlineStr">
        <x:is>
          <x:t xml:space="preserve">프론트 처리</x:t>
        </x:is>
      </x:c>
      <x:c r="E31" s="11" t="inlineStr">
        <x:is>
          <x:t xml:space="preserve">현재 상태</x:t>
        </x:is>
      </x:c>
    </x:row>
    <x:row r="32">
      <x:c r="A32" s="67" t="inlineStr">
        <x:is>
          <x:t xml:space="preserve">409 Conflict</x:t>
        </x:is>
      </x:c>
      <x:c r="B32" s="46" t="inlineStr">
        <x:is>
          <x:t xml:space="preserve">LLM_JOB_ALREADY_RUNNING</x:t>
        </x:is>
      </x:c>
      <x:c r="C32" s="46" t="inlineStr">
        <x:is>
          <x:t xml:space="preserve">이미 진행 중인 AI 작업이 있습니다.</x:t>
        </x:is>
      </x:c>
      <x:c r="D32" s="46" t="inlineStr">
        <x:is>
          <x:t xml:space="preserve">기존 Job 상태 조회 화면으로 이동</x:t>
        </x:is>
      </x:c>
      <x:c r="E32" s="68" t="inlineStr">
        <x:is>
          <x:t xml:space="preserve">현재 구현</x:t>
        </x:is>
      </x:c>
    </x:row>
    <x:row r="33">
      <x:c r="A33" s="69" t="inlineStr">
        <x:is>
          <x:t xml:space="preserve">401 Unauthorized</x:t>
        </x:is>
      </x:c>
      <x:c r="B33" s="47" t="inlineStr">
        <x:is>
          <x:t xml:space="preserve">UNAUTHORIZED</x:t>
        </x:is>
      </x:c>
      <x:c r="C33" s="47" t="inlineStr">
        <x:is>
          <x:t xml:space="preserve">인증 쿠키가 없거나 유효하지 않음</x:t>
        </x:is>
      </x:c>
      <x:c r="D33" s="47" t="inlineStr">
        <x:is>
          <x:t xml:space="preserve">로그인 화면으로 이동</x:t>
        </x:is>
      </x:c>
      <x:c r="E33" s="70" t="inlineStr">
        <x:is>
          <x:t xml:space="preserve">계약 정의·인증 미구현</x:t>
        </x:is>
      </x:c>
    </x:row>
    <x:row r="34">
      <x:c r="A34" s="69" t="inlineStr">
        <x:is>
          <x:t xml:space="preserve">403 Forbidden</x:t>
        </x:is>
      </x:c>
      <x:c r="B34" s="47" t="inlineStr">
        <x:is>
          <x:t xml:space="preserve">CSRF_INVALID</x:t>
        </x:is>
      </x:c>
      <x:c r="C34" s="47" t="inlineStr">
        <x:is>
          <x:t xml:space="preserve">CSRF 토큰이 없거나 일치하지 않음</x:t>
        </x:is>
      </x:c>
      <x:c r="D34" s="47" t="inlineStr">
        <x:is>
          <x:t xml:space="preserve">토큰 갱신 후 1회 재시도</x:t>
        </x:is>
      </x:c>
      <x:c r="E34" s="70" t="inlineStr">
        <x:is>
          <x:t xml:space="preserve">계약 정의·CSRF 미구현</x:t>
        </x:is>
      </x:c>
    </x:row>
    <x:row r="35">
      <x:c r="A35" s="69" t="inlineStr">
        <x:is>
          <x:t xml:space="preserve">400 Bad Request</x:t>
        </x:is>
      </x:c>
      <x:c r="B35" s="47" t="inlineStr">
        <x:is>
          <x:t xml:space="preserve">VALIDATION_ERROR</x:t>
        </x:is>
      </x:c>
      <x:c r="C35" s="47" t="inlineStr">
        <x:is>
          <x:t xml:space="preserve">요청 값이 제약 조건을 위반함</x:t>
        </x:is>
      </x:c>
      <x:c r="D35" s="47" t="inlineStr">
        <x:is>
          <x:t xml:space="preserve">error.details의 field/reason을 입력 항목에 표시</x:t>
        </x:is>
      </x:c>
      <x:c r="E35" s="70" t="inlineStr">
        <x:is>
          <x:t xml:space="preserve">현재 구현</x:t>
        </x:is>
      </x:c>
    </x:row>
    <x:row r="36">
      <x:c r="A36" s="69" t="inlineStr">
        <x:is>
          <x:t xml:space="preserve">404 Not Found</x:t>
        </x:is>
      </x:c>
      <x:c r="B36" s="47" t="inlineStr">
        <x:is>
          <x:t xml:space="preserve">NOT_FOUND</x:t>
        </x:is>
      </x:c>
      <x:c r="C36" s="47" t="inlineStr">
        <x:is>
          <x:t xml:space="preserve">대상이 없거나 접근 권한이 없음</x:t>
        </x:is>
      </x:c>
      <x:c r="D36" s="47" t="inlineStr">
        <x:is>
          <x:t xml:space="preserve">목록으로 이동하거나 삭제 상태 반영</x:t>
        </x:is>
      </x:c>
      <x:c r="E36" s="70" t="inlineStr">
        <x:is>
          <x:t xml:space="preserve">현재 구현</x:t>
        </x:is>
      </x:c>
    </x:row>
    <x:row r="37">
      <x:c r="A37" s="71" t="inlineStr">
        <x:is>
          <x:t xml:space="preserve">500 Internal Server Error</x:t>
        </x:is>
      </x:c>
      <x:c r="B37" s="48" t="inlineStr">
        <x:is>
          <x:t xml:space="preserve">INTERNAL_ERROR</x:t>
        </x:is>
      </x:c>
      <x:c r="C37" s="48" t="inlineStr">
        <x:is>
          <x:t xml:space="preserve">예상하지 못한 서버 오류</x:t>
        </x:is>
      </x:c>
      <x:c r="D37" s="48" t="inlineStr">
        <x:is>
          <x:t xml:space="preserve">재시도 안내 후 지속 시 오류 정보 전달</x:t>
        </x:is>
      </x:c>
      <x:c r="E37" s="72" t="inlineStr">
        <x:is>
          <x:t xml:space="preserve">현재 구현</x:t>
        </x:is>
      </x:c>
    </x:row>
  </x:sheetData>
  <x:mergeCells>
    <x:mergeCell ref="A4:H4"/>
    <x:mergeCell ref="A30:H30"/>
    <x:mergeCell ref="A16:H16"/>
    <x:mergeCell ref="A10:H10"/>
    <x:mergeCell ref="B2:H2"/>
    <x:mergeCell ref="A11:H11"/>
    <x:mergeCell ref="A13:H13"/>
    <x:mergeCell ref="A14:H14"/>
    <x:mergeCell ref="A1:H1"/>
    <x:mergeCell ref="A23:H23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61dd6ae506c04f18"/>
    <x:tablePart xmlns:r="http://schemas.openxmlformats.org/officeDocument/2006/relationships" r:id="Ra806f0254b724ade"/>
    <x:tablePart xmlns:r="http://schemas.openxmlformats.org/officeDocument/2006/relationships" r:id="R3c56f0ddabd64f97"/>
  </x:tableParts>
</x:worksheet>
</file>

<file path=xl/worksheets/sheet2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API-021 · 최신 키워드 분석 화면 조회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/cover-letters/{coverLetterId}/keyword-analysis/latest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/cover-letters/{coverLetterId}/keyword-analysis/latest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부분 구현·신규 계약 미구현</x:v>
      </x:c>
    </x:row>
    <x:row r="6" ht="22.5" customHeight="1">
      <x:c r="A6" s="213" t="str">
        <x:v>기능</x:v>
      </x:c>
      <x:c r="B6" s="177" t="str">
        <x:v>최신 키워드 분석 화면 조회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부분 구현·신규 계약 미구현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2.5" customHeight="1">
      <x:c r="A11" s="221" t="str">
        <x:v>GET /cover-letters/cl_01HZ.../keyword-analysis/latest HTTP/1.1
Accept: application/json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168" customHeight="1">
      <x:c r="A14" s="221" t="str">
        <x:v>HTTP/1.1 200 OK
Content-Type: application/json
{
  "coverLetter": {
    "id": "cl_01HZ...",
    "title": "2026 상반기 백엔드 개발자 자기소개서",
    "companyName": "Rewrite Corp",
    "positionTitle": "백엔드 개발자"
  },
  "sourceReviewVersion": {"id": "rv_01HZ...", "version": "v0.2"},
  "status": "COMPLETED",
  "keywords": [{"keyword": "백엔드", "importance": 95}]
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coverLetterId</x:v>
      </x:c>
      <x:c r="C18" s="233" t="str">
        <x:v>string</x:v>
      </x:c>
      <x:c r="D18" s="233" t="str">
        <x:v>필수</x:v>
      </x:c>
      <x:c r="E18" s="233" t="str">
        <x:v>자기소개서 ID</x:v>
      </x:c>
      <x:c r="F18" s="233"/>
      <x:c r="G18" s="233"/>
      <x:c r="H18" s="233"/>
    </x:row>
    <x:row r="19" ht="18" customHeight="1">
      <x:c r="A19" s="233" t="str">
        <x:v>cookie</x:v>
      </x:c>
      <x:c r="B19" s="233" t="str">
        <x:v>access_token</x:v>
      </x:c>
      <x:c r="C19" s="233" t="str">
        <x:v>string</x:v>
      </x:c>
      <x:c r="D19" s="233" t="str">
        <x:v>계약상 필수</x:v>
      </x:c>
      <x:c r="E19" s="233" t="str">
        <x:v>현재 사용자 인증 cookie (인증 미구현)</x:v>
      </x:c>
      <x:c r="F19" s="233"/>
      <x:c r="G19" s="233"/>
      <x:c r="H19" s="233"/>
    </x:row>
    <x:row r="21" ht="19.5" customHeight="1">
      <x:c r="A21" s="208" t="str">
        <x:v>응답 필드 설명</x:v>
      </x:c>
      <x:c r="B21" s="208"/>
      <x:c r="C21" s="208"/>
      <x:c r="D21" s="208"/>
      <x:c r="E21" s="208"/>
      <x:c r="F21" s="208"/>
      <x:c r="G21" s="208"/>
      <x:c r="H21" s="208"/>
    </x:row>
    <x:row r="22" ht="18" customHeight="1">
      <x:c r="A22" s="228" t="str">
        <x:v>위치</x:v>
      </x:c>
      <x:c r="B22" s="228" t="str">
        <x:v>필드 경로</x:v>
      </x:c>
      <x:c r="C22" s="228" t="str">
        <x:v>타입</x:v>
      </x:c>
      <x:c r="D22" s="228" t="str">
        <x:v>필수 여부</x:v>
      </x:c>
      <x:c r="E22" s="228" t="str">
        <x:v>의미·제약</x:v>
      </x:c>
      <x:c r="F22" s="228"/>
      <x:c r="G22" s="228"/>
      <x:c r="H22" s="228"/>
    </x:row>
    <x:row r="23" ht="18" customHeight="1">
      <x:c r="A23" s="233" t="str">
        <x:v>body</x:v>
      </x:c>
      <x:c r="B23" s="233" t="str">
        <x:v>coverLetter</x:v>
      </x:c>
      <x:c r="C23" s="233" t="str">
        <x:v>object</x:v>
      </x:c>
      <x:c r="D23" s="233" t="str">
        <x:v>필수</x:v>
      </x:c>
      <x:c r="E23" s="233" t="str">
        <x:v>모든 상태에서 화면 상단 정보 반환</x:v>
      </x:c>
      <x:c r="F23" s="233"/>
      <x:c r="G23" s="233"/>
      <x:c r="H23" s="233"/>
    </x:row>
    <x:row r="24" ht="18" customHeight="1">
      <x:c r="A24" s="233" t="str">
        <x:v>body</x:v>
      </x:c>
      <x:c r="B24" s="233" t="str">
        <x:v>coverLetter.id</x:v>
      </x:c>
      <x:c r="C24" s="233" t="str">
        <x:v>string</x:v>
      </x:c>
      <x:c r="D24" s="233" t="str">
        <x:v>필수</x:v>
      </x:c>
      <x:c r="E24" s="233" t="str">
        <x:v>자기소개서 ID</x:v>
      </x:c>
      <x:c r="F24" s="233"/>
      <x:c r="G24" s="233"/>
      <x:c r="H24" s="233"/>
    </x:row>
    <x:row r="25" ht="18" customHeight="1">
      <x:c r="A25" s="233" t="str">
        <x:v>body</x:v>
      </x:c>
      <x:c r="B25" s="233" t="str">
        <x:v>coverLetter.title</x:v>
      </x:c>
      <x:c r="C25" s="233" t="str">
        <x:v>string</x:v>
      </x:c>
      <x:c r="D25" s="233" t="str">
        <x:v>필수</x:v>
      </x:c>
      <x:c r="E25" s="233" t="str">
        <x:v>자기소개서 제목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coverLetter.companyName</x:v>
      </x:c>
      <x:c r="C26" s="233" t="str">
        <x:v>string</x:v>
      </x:c>
      <x:c r="D26" s="233" t="str">
        <x:v>필수</x:v>
      </x:c>
      <x:c r="E26" s="233" t="str">
        <x:v>지원 회사명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coverLetter.positionTitle</x:v>
      </x:c>
      <x:c r="C27" s="233" t="str">
        <x:v>string</x:v>
      </x:c>
      <x:c r="D27" s="233" t="str">
        <x:v>필수</x:v>
      </x:c>
      <x:c r="E27" s="233" t="str">
        <x:v>지원 직무명</x:v>
      </x:c>
      <x:c r="F27" s="233"/>
      <x:c r="G27" s="233"/>
      <x:c r="H27" s="233"/>
    </x:row>
    <x:row r="28" ht="18" customHeight="1">
      <x:c r="A28" s="233" t="str">
        <x:v>body</x:v>
      </x:c>
      <x:c r="B28" s="233" t="str">
        <x:v>sourceReviewVersion</x:v>
      </x:c>
      <x:c r="C28" s="233" t="str">
        <x:v>object</x:v>
      </x:c>
      <x:c r="D28" s="233" t="str">
        <x:v>nullable</x:v>
      </x:c>
      <x:c r="E28" s="233" t="str">
        <x:v>NOT_STARTED는 null</x:v>
      </x:c>
      <x:c r="F28" s="233"/>
      <x:c r="G28" s="233"/>
      <x:c r="H28" s="233"/>
    </x:row>
    <x:row r="29" ht="18" customHeight="1">
      <x:c r="A29" s="233" t="str">
        <x:v>body</x:v>
      </x:c>
      <x:c r="B29" s="233" t="str">
        <x:v>sourceReviewVersion.id</x:v>
      </x:c>
      <x:c r="C29" s="233" t="str">
        <x:v>string</x:v>
      </x:c>
      <x:c r="D29" s="233" t="str">
        <x:v>조건부</x:v>
      </x:c>
      <x:c r="E29" s="233" t="str">
        <x:v>분석 기준 첨삭 버전 ID</x:v>
      </x:c>
      <x:c r="F29" s="233"/>
      <x:c r="G29" s="233"/>
      <x:c r="H29" s="233"/>
    </x:row>
    <x:row r="30" ht="18" customHeight="1">
      <x:c r="A30" s="233" t="str">
        <x:v>body</x:v>
      </x:c>
      <x:c r="B30" s="233" t="str">
        <x:v>sourceReviewVersion.version</x:v>
      </x:c>
      <x:c r="C30" s="233" t="str">
        <x:v>string</x:v>
      </x:c>
      <x:c r="D30" s="233" t="str">
        <x:v>조건부</x:v>
      </x:c>
      <x:c r="E30" s="233" t="str">
        <x:v>분석 기준 버전 label. createdAt은 반환하지 않음</x:v>
      </x:c>
      <x:c r="F30" s="233"/>
      <x:c r="G30" s="233"/>
      <x:c r="H30" s="233"/>
    </x:row>
    <x:row r="31" ht="22.5" customHeight="1">
      <x:c r="A31" s="233" t="str">
        <x:v>body</x:v>
      </x:c>
      <x:c r="B31" s="233" t="str">
        <x:v>status</x:v>
      </x:c>
      <x:c r="C31" s="233" t="str">
        <x:v>string</x:v>
      </x:c>
      <x:c r="D31" s="233" t="str">
        <x:v>필수</x:v>
      </x:c>
      <x:c r="E31" s="233" t="str">
        <x:v>NOT_STARTED | PROCESSING | COMPLETED | FAILED</x:v>
      </x:c>
      <x:c r="F31" s="233"/>
      <x:c r="G31" s="233"/>
      <x:c r="H31" s="233"/>
    </x:row>
    <x:row r="32" ht="18" customHeight="1">
      <x:c r="A32" s="233" t="str">
        <x:v>body</x:v>
      </x:c>
      <x:c r="B32" s="233" t="str">
        <x:v>keywords</x:v>
      </x:c>
      <x:c r="C32" s="233" t="str">
        <x:v>array</x:v>
      </x:c>
      <x:c r="D32" s="233" t="str">
        <x:v>필수</x:v>
      </x:c>
      <x:c r="E32" s="233" t="str">
        <x:v>COMPLETED 외 상태에서는 빈 배열</x:v>
      </x:c>
      <x:c r="F32" s="233"/>
      <x:c r="G32" s="233"/>
      <x:c r="H32" s="233"/>
    </x:row>
    <x:row r="33" ht="18" customHeight="1">
      <x:c r="A33" s="233" t="str">
        <x:v>body</x:v>
      </x:c>
      <x:c r="B33" s="233" t="str">
        <x:v>keywords[].keyword</x:v>
      </x:c>
      <x:c r="C33" s="233" t="str">
        <x:v>string</x:v>
      </x:c>
      <x:c r="D33" s="233" t="str">
        <x:v>조건부</x:v>
      </x:c>
      <x:c r="E33" s="233" t="str">
        <x:v>분석 키워드</x:v>
      </x:c>
      <x:c r="F33" s="233"/>
      <x:c r="G33" s="233"/>
      <x:c r="H33" s="233"/>
    </x:row>
    <x:row r="34" ht="18" customHeight="1">
      <x:c r="A34" s="233" t="str">
        <x:v>body</x:v>
      </x:c>
      <x:c r="B34" s="233" t="str">
        <x:v>keywords[].importance</x:v>
      </x:c>
      <x:c r="C34" s="233" t="str">
        <x:v>integer</x:v>
      </x:c>
      <x:c r="D34" s="233" t="str">
        <x:v>조건부</x:v>
      </x:c>
      <x:c r="E34" s="233" t="str">
        <x:v>1~100</x:v>
      </x:c>
      <x:c r="F34" s="233"/>
      <x:c r="G34" s="233"/>
      <x:c r="H34" s="233"/>
    </x:row>
    <x:row r="36" ht="19.5" customHeight="1">
      <x:c r="A36" s="208" t="str">
        <x:v>오류 응답</x:v>
      </x:c>
      <x:c r="B36" s="208"/>
      <x:c r="C36" s="208"/>
      <x:c r="D36" s="208"/>
      <x:c r="E36" s="208"/>
      <x:c r="F36" s="208"/>
      <x:c r="G36" s="208"/>
      <x:c r="H36" s="208"/>
    </x:row>
    <x:row r="37">
      <x:c r="A37" s="228" t="str">
        <x:v>HTTP 상태</x:v>
      </x:c>
      <x:c r="B37" s="228" t="str">
        <x:v>오류 코드</x:v>
      </x:c>
      <x:c r="C37" s="228" t="str">
        <x:v>발생 조건</x:v>
      </x:c>
      <x:c r="D37" s="228" t="str">
        <x:v>프론트 처리</x:v>
      </x:c>
      <x:c r="E37" s="228"/>
      <x:c r="F37" s="228" t="str">
        <x:v>현재 상태</x:v>
      </x:c>
      <x:c r="G37" s="228"/>
      <x:c r="H37" s="228"/>
    </x:row>
    <x:row r="38" ht="21" customHeight="1">
      <x:c r="A38" s="233" t="str">
        <x:v>401 Unauthorized</x:v>
      </x:c>
      <x:c r="B38" s="233" t="str">
        <x:v>UNAUTHORIZED</x:v>
      </x:c>
      <x:c r="C38" s="233" t="str">
        <x:v>인증 cookie가 없거나 유효하지 않음</x:v>
      </x:c>
      <x:c r="D38" s="233" t="str">
        <x:v>로그인 화면으로 이동</x:v>
      </x:c>
      <x:c r="E38" s="233"/>
      <x:c r="F38" s="233" t="str">
        <x:v>계약 정의·인증 미구현</x:v>
      </x:c>
      <x:c r="G38" s="233"/>
      <x:c r="H38" s="233"/>
    </x:row>
    <x:row r="39" ht="21" customHeight="1">
      <x:c r="A39" s="233" t="str">
        <x:v>404 Not Found</x:v>
      </x:c>
      <x:c r="B39" s="233" t="str">
        <x:v>NOT_FOUND</x:v>
      </x:c>
      <x:c r="C39" s="233" t="str">
        <x:v>리소스가 없거나 소유자가 다르거나 삭제됨</x:v>
      </x:c>
      <x:c r="D39" s="233" t="str">
        <x:v>목록으로 이동하거나 삭제 상태 반영</x:v>
      </x:c>
      <x:c r="E39" s="233"/>
      <x:c r="F39" s="233" t="str">
        <x:v>현재 구현/신규 API는 구현 예정</x:v>
      </x:c>
      <x:c r="G39" s="233"/>
      <x:c r="H39" s="233"/>
    </x:row>
    <x:row r="40" ht="21" customHeight="1">
      <x:c r="A40" s="233" t="str">
        <x:v>500 Internal Server Error</x:v>
      </x:c>
      <x:c r="B40" s="233" t="str">
        <x:v>INTERNAL_ERROR</x:v>
      </x:c>
      <x:c r="C40" s="233" t="str">
        <x:v>예상하지 못한 서버 오류</x:v>
      </x:c>
      <x:c r="D40" s="233" t="str">
        <x:v>재시도 안내 후 지속 시 오류 정보 전달</x:v>
      </x:c>
      <x:c r="E40" s="233"/>
      <x:c r="F40" s="233" t="str">
        <x:v>공통 처리</x:v>
      </x:c>
      <x:c r="G40" s="233"/>
      <x:c r="H40" s="233"/>
    </x:row>
    <x:row r="42" ht="19.5" customHeight="1">
      <x:c r="A42" s="208" t="str">
        <x:v>프론트엔드 구현 메모</x:v>
      </x:c>
      <x:c r="B42" s="208"/>
      <x:c r="C42" s="208"/>
      <x:c r="D42" s="208"/>
      <x:c r="E42" s="208"/>
      <x:c r="F42" s="208"/>
      <x:c r="G42" s="208"/>
      <x:c r="H42" s="208"/>
    </x:row>
    <x:row r="43" ht="36" customHeight="1">
      <x:c r="A43" s="233" t="str">
        <x:v>현재 endpoint는 status와 keywords 조회까지 구현되어 있다. 신규 계약은 coverLetter를 항상 반환하고, NOT_STARTED에서 sourceReviewVersion=null을 반환한다. sourceReviewVersion.createdAt은 화면에 필요 없어 제외한다.</x:v>
      </x:c>
      <x:c r="B43" s="233"/>
      <x:c r="C43" s="233"/>
      <x:c r="D43" s="233"/>
      <x:c r="E43" s="233"/>
      <x:c r="F43" s="233"/>
      <x:c r="G43" s="233"/>
      <x:c r="H43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A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A36:H36"/>
    <x:mergeCell ref="D37:E37"/>
    <x:mergeCell ref="F37:H37"/>
    <x:mergeCell ref="D38:E38"/>
    <x:mergeCell ref="F38:H38"/>
    <x:mergeCell ref="D39:E39"/>
    <x:mergeCell ref="F39:H39"/>
    <x:mergeCell ref="D40:E40"/>
    <x:mergeCell ref="F40:H40"/>
    <x:mergeCell ref="A42:H42"/>
    <x:mergeCell ref="A43:H43"/>
  </x:mergeCells>
  <x:pageMargins left="0.7" right="0.7" top="0.75" bottom="0.75" header="0.3" footer="0.3"/>
  <x:pageSetup paperSize="9" orientation="landscape" fitToWidth="1" fitToHeight="0"/>
</x:worksheet>
</file>

<file path=xl/worksheets/sheet2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API-022  ·  면접 세션과 초기 질문 생성 Job 생성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/cover-letters/{coverLetterId}/interviews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/cover-letters/{coverLetterId}/interviews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면접 세션과 초기 질문 생성 Job 생성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40" customHeight="1">
      <x:c r="A11" s="115" t="inlineStr">
        <x:is>
          <x:t xml:space="preserve">POST /cover-letters/cl_01HZ.../interviews HTTP/1.1
Accept: application/json
Cookie: access_token=&lt;access_token&gt;
X-CSRF-Token: &lt;csrf-token&gt;
Content-Type: application/json
{
  "sourceReviewVersionId": "rv_01HZ..."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26" customHeight="1">
      <x:c r="A14" s="115" t="inlineStr">
        <x:is>
          <x:t xml:space="preserve">HTTP/1.1 200 OK
Content-Type: application/json
{
  "interviewSessionId": "is_01HZ...",
  "jobId": "job_01HZ...",
  "status": "QUESTION_GENERATING"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71" t="inlineStr">
        <x:is>
          <x:t xml:space="preserve">body</x:t>
        </x:is>
      </x:c>
      <x:c r="B21" s="48" t="inlineStr">
        <x:is>
          <x:t xml:space="preserve">sourceReviewVersionId</x:t>
        </x:is>
      </x:c>
      <x:c r="C21" s="48" t="inlineStr">
        <x:is>
          <x:t xml:space="preserve">string</x:t>
        </x:is>
      </x:c>
      <x:c r="D21" s="48" t="inlineStr">
        <x:is>
          <x:t xml:space="preserve">선택</x:t>
        </x:is>
      </x:c>
      <x:c r="E21" s="72" t="inlineStr">
        <x:is>
          <x:t xml:space="preserve">질문 생성 기준 첨삭 버전 ID; 생략 시 최신 버전</x:t>
        </x:is>
      </x:c>
    </x:row>
    <x:row r="23" ht="24" customHeight="1">
      <x:c r="A23" s="113" t="inlineStr">
        <x:is>
          <x:t xml:space="preserve">응답 필드 설명</x:t>
        </x:is>
      </x:c>
      <x:c r="B23" s="106" t="n"/>
      <x:c r="C23" s="106" t="n"/>
      <x:c r="D23" s="106" t="n"/>
      <x:c r="E23" s="106" t="n"/>
      <x:c r="F23" s="106" t="n"/>
      <x:c r="G23" s="106" t="n"/>
      <x:c r="H23" s="106" t="n"/>
    </x:row>
    <x:row r="24">
      <x:c r="A24" s="9" t="inlineStr">
        <x:is>
          <x:t xml:space="preserve">필드 경로</x:t>
        </x:is>
      </x:c>
      <x:c r="B24" s="10" t="inlineStr">
        <x:is>
          <x:t xml:space="preserve">타입</x:t>
        </x:is>
      </x:c>
      <x:c r="C24" s="10" t="inlineStr">
        <x:is>
          <x:t xml:space="preserve">필수/nullable</x:t>
        </x:is>
      </x:c>
      <x:c r="D24" s="11" t="inlineStr">
        <x:is>
          <x:t xml:space="preserve">필드 의미</x:t>
        </x:is>
      </x:c>
    </x:row>
    <x:row r="25">
      <x:c r="A25" s="67" t="inlineStr">
        <x:is>
          <x:t xml:space="preserve">interviewSessionId</x:t>
        </x:is>
      </x:c>
      <x:c r="B25" s="46" t="inlineStr">
        <x:is>
          <x:t xml:space="preserve">string</x:t>
        </x:is>
      </x:c>
      <x:c r="C25" s="46" t="inlineStr">
        <x:is>
          <x:t xml:space="preserve">필수</x:t>
        </x:is>
      </x:c>
      <x:c r="D25" s="68" t="inlineStr">
        <x:is>
          <x:t xml:space="preserve">면접 세션 ID</x:t>
        </x:is>
      </x:c>
    </x:row>
    <x:row r="26">
      <x:c r="A26" s="69" t="inlineStr">
        <x:is>
          <x:t xml:space="preserve">jobId</x:t>
        </x:is>
      </x:c>
      <x:c r="B26" s="47" t="inlineStr">
        <x:is>
          <x:t xml:space="preserve">string</x:t>
        </x:is>
      </x:c>
      <x:c r="C26" s="47" t="inlineStr">
        <x:is>
          <x:t xml:space="preserve">조건부/nullable</x:t>
        </x:is>
      </x:c>
      <x:c r="D26" s="70" t="inlineStr">
        <x:is>
          <x:t xml:space="preserve">LLM Job ID</x:t>
        </x:is>
      </x:c>
    </x:row>
    <x:row r="27">
      <x:c r="A27" s="71" t="inlineStr">
        <x:is>
          <x:t xml:space="preserve">status</x:t>
        </x:is>
      </x:c>
      <x:c r="B27" s="48" t="inlineStr">
        <x:is>
          <x:t xml:space="preserve">string</x:t>
        </x:is>
      </x:c>
      <x:c r="C27" s="48" t="inlineStr">
        <x:is>
          <x:t xml:space="preserve">필수</x:t>
        </x:is>
      </x:c>
      <x:c r="D27" s="72" t="inlineStr">
        <x:is>
          <x:t xml:space="preserve">현재 처리/리소스 상태; 허용값: QUESTION_GENERATING | ACTIVE | FAILED</x:t>
        </x:is>
      </x:c>
    </x:row>
    <x:row r="29" ht="24" customHeight="1">
      <x:c r="A29" s="113" t="inlineStr">
        <x:is>
          <x:t xml:space="preserve">오류 응답</x:t>
        </x:is>
      </x:c>
      <x:c r="B29" s="106" t="n"/>
      <x:c r="C29" s="106" t="n"/>
      <x:c r="D29" s="106" t="n"/>
      <x:c r="E29" s="106" t="n"/>
      <x:c r="F29" s="106" t="n"/>
      <x:c r="G29" s="106" t="n"/>
      <x:c r="H29" s="106" t="n"/>
    </x:row>
    <x:row r="30">
      <x:c r="A30" s="9" t="inlineStr">
        <x:is>
          <x:t xml:space="preserve">HTTP 상태</x:t>
        </x:is>
      </x:c>
      <x:c r="B30" s="10" t="inlineStr">
        <x:is>
          <x:t xml:space="preserve">오류 코드</x:t>
        </x:is>
      </x:c>
      <x:c r="C30" s="10" t="inlineStr">
        <x:is>
          <x:t xml:space="preserve">발생 조건</x:t>
        </x:is>
      </x:c>
      <x:c r="D30" s="10" t="inlineStr">
        <x:is>
          <x:t xml:space="preserve">프론트 처리</x:t>
        </x:is>
      </x:c>
      <x:c r="E30" s="11" t="inlineStr">
        <x:is>
          <x:t xml:space="preserve">현재 상태</x:t>
        </x:is>
      </x:c>
    </x:row>
    <x:row r="31">
      <x:c r="A31" s="67" t="inlineStr">
        <x:is>
          <x:t xml:space="preserve">401 Unauthorized</x:t>
        </x:is>
      </x:c>
      <x:c r="B31" s="46" t="inlineStr">
        <x:is>
          <x:t xml:space="preserve">UNAUTHORIZED</x:t>
        </x:is>
      </x:c>
      <x:c r="C31" s="46" t="inlineStr">
        <x:is>
          <x:t xml:space="preserve">인증 쿠키가 없거나 유효하지 않음</x:t>
        </x:is>
      </x:c>
      <x:c r="D31" s="46" t="inlineStr">
        <x:is>
          <x:t xml:space="preserve">로그인 화면으로 이동</x:t>
        </x:is>
      </x:c>
      <x:c r="E31" s="68" t="inlineStr">
        <x:is>
          <x:t xml:space="preserve">계약 정의·인증 미구현</x:t>
        </x:is>
      </x:c>
    </x:row>
    <x:row r="32">
      <x:c r="A32" s="69" t="inlineStr">
        <x:is>
          <x:t xml:space="preserve">403 Forbidden</x:t>
        </x:is>
      </x:c>
      <x:c r="B32" s="47" t="inlineStr">
        <x:is>
          <x:t xml:space="preserve">CSRF_INVALID</x:t>
        </x:is>
      </x:c>
      <x:c r="C32" s="47" t="inlineStr">
        <x:is>
          <x:t xml:space="preserve">CSRF 토큰이 없거나 일치하지 않음</x:t>
        </x:is>
      </x:c>
      <x:c r="D32" s="47" t="inlineStr">
        <x:is>
          <x:t xml:space="preserve">토큰 갱신 후 1회 재시도</x:t>
        </x:is>
      </x:c>
      <x:c r="E32" s="70" t="inlineStr">
        <x:is>
          <x:t xml:space="preserve">계약 정의·CSRF 미구현</x:t>
        </x:is>
      </x:c>
    </x:row>
    <x:row r="33">
      <x:c r="A33" s="69" t="inlineStr">
        <x:is>
          <x:t xml:space="preserve">400 Bad Request</x:t>
        </x:is>
      </x:c>
      <x:c r="B33" s="47" t="inlineStr">
        <x:is>
          <x:t xml:space="preserve">VALIDATION_ERROR</x:t>
        </x:is>
      </x:c>
      <x:c r="C33" s="47" t="inlineStr">
        <x:is>
          <x:t xml:space="preserve">요청 값이 제약 조건을 위반함</x:t>
        </x:is>
      </x:c>
      <x:c r="D33" s="47" t="inlineStr">
        <x:is>
          <x:t xml:space="preserve">error.details의 field/reason을 입력 항목에 표시</x:t>
        </x:is>
      </x:c>
      <x:c r="E33" s="70" t="inlineStr">
        <x:is>
          <x:t xml:space="preserve">현재 구현</x:t>
        </x:is>
      </x:c>
    </x:row>
    <x:row r="34">
      <x:c r="A34" s="69" t="inlineStr">
        <x:is>
          <x:t xml:space="preserve">404 Not Found</x:t>
        </x:is>
      </x:c>
      <x:c r="B34" s="47" t="inlineStr">
        <x:is>
          <x:t xml:space="preserve">NOT_FOUND</x:t>
        </x:is>
      </x:c>
      <x:c r="C34" s="47" t="inlineStr">
        <x:is>
          <x:t xml:space="preserve">대상이 없거나 접근 권한이 없음</x:t>
        </x:is>
      </x:c>
      <x:c r="D34" s="47" t="inlineStr">
        <x:is>
          <x:t xml:space="preserve">목록으로 이동하거나 삭제 상태 반영</x:t>
        </x:is>
      </x:c>
      <x:c r="E34" s="70" t="inlineStr">
        <x:is>
          <x:t xml:space="preserve">현재 구현</x:t>
        </x:is>
      </x:c>
    </x:row>
    <x:row r="35">
      <x:c r="A35" s="71" t="inlineStr">
        <x:is>
          <x:t xml:space="preserve">500 Internal Server Error</x:t>
        </x:is>
      </x:c>
      <x:c r="B35" s="48" t="inlineStr">
        <x:is>
          <x:t xml:space="preserve">INTERNAL_ERROR</x:t>
        </x:is>
      </x:c>
      <x:c r="C35" s="48" t="inlineStr">
        <x:is>
          <x:t xml:space="preserve">예상하지 못한 서버 오류</x:t>
        </x:is>
      </x:c>
      <x:c r="D35" s="48" t="inlineStr">
        <x:is>
          <x:t xml:space="preserve">재시도 안내 후 지속 시 오류 정보 전달</x:t>
        </x:is>
      </x:c>
      <x:c r="E35" s="72" t="inlineStr">
        <x:is>
          <x:t xml:space="preserve">현재 구현</x:t>
        </x:is>
      </x:c>
    </x:row>
  </x:sheetData>
  <x:mergeCells>
    <x:mergeCell ref="A4:H4"/>
    <x:mergeCell ref="A29:H29"/>
    <x:mergeCell ref="A16:H16"/>
    <x:mergeCell ref="A10:H10"/>
    <x:mergeCell ref="B2:H2"/>
    <x:mergeCell ref="A11:H11"/>
    <x:mergeCell ref="A13:H13"/>
    <x:mergeCell ref="A14:H14"/>
    <x:mergeCell ref="A1:H1"/>
    <x:mergeCell ref="A23:H23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1c4065f24cae4d53"/>
    <x:tablePart xmlns:r="http://schemas.openxmlformats.org/officeDocument/2006/relationships" r:id="Ree296946ce93457b"/>
    <x:tablePart xmlns:r="http://schemas.openxmlformats.org/officeDocument/2006/relationships" r:id="R13151ae9ad4d4c0e"/>
  </x:tableParts>
</x:worksheet>
</file>

<file path=xl/worksheets/sheet2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API-023  ·  USER 답변 저장, 피드백 Job 실행, ASSISTANT 피드백 메시지 저장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/interview-threads/{threadId}/messages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/interview-threads/{threadId}/messages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USER 답변 저장, 피드백 Job 실행, ASSISTANT 피드백 메시지 저장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140" customHeight="1">
      <x:c r="A11" s="115" t="inlineStr">
        <x:is>
          <x:t xml:space="preserve">POST /interview-threads/it_01HZ.../messages HTTP/1.1
Accept: application/json
Cookie: access_token=&lt;access_token&gt;
X-CSRF-Token: &lt;csrf-token&gt;
Content-Type: application/json
{
  "content": "저는 프로젝트에서 API 설계를 담당했습니다."
}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26" customHeight="1">
      <x:c r="A14" s="115" t="inlineStr">
        <x:is>
          <x:t xml:space="preserve">HTTP/1.1 200 OK
Content-Type: application/json
{
  "userMessageId": "im_01HY...",
  "jobId": "job_01HZ...",
  "status": "PENDING"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threadId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면접 질문별 대화방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69" t="inlineStr">
        <x:is>
          <x:t xml:space="preserve">header</x:t>
        </x:is>
      </x:c>
      <x:c r="B20" s="47" t="inlineStr">
        <x:is>
          <x:t xml:space="preserve">X-CSRF-Token</x:t>
        </x:is>
      </x:c>
      <x:c r="C20" s="47" t="inlineStr">
        <x:is>
          <x:t xml:space="preserve">string</x:t>
        </x:is>
      </x:c>
      <x:c r="D20" s="47" t="inlineStr">
        <x:is>
          <x:t xml:space="preserve">계약상 필수 (현재 미검증)</x:t>
        </x:is>
      </x:c>
      <x:c r="E20" s="70" t="inlineStr">
        <x:is>
          <x:t xml:space="preserve">상태 변경 요청용 CSRF 토큰</x:t>
        </x:is>
      </x:c>
    </x:row>
    <x:row r="21">
      <x:c r="A21" s="71" t="inlineStr">
        <x:is>
          <x:t xml:space="preserve">body</x:t>
        </x:is>
      </x:c>
      <x:c r="B21" s="48" t="inlineStr">
        <x:is>
          <x:t xml:space="preserve">content</x:t>
        </x:is>
      </x:c>
      <x:c r="C21" s="48" t="inlineStr">
        <x:is>
          <x:t xml:space="preserve">string</x:t>
        </x:is>
      </x:c>
      <x:c r="D21" s="48" t="inlineStr">
        <x:is>
          <x:t xml:space="preserve">필수</x:t>
        </x:is>
      </x:c>
      <x:c r="E21" s="72" t="inlineStr">
        <x:is>
          <x:t xml:space="preserve">사용자 면접 답변; trim 후 최대 2000자</x:t>
        </x:is>
      </x:c>
    </x:row>
    <x:row r="23" ht="24" customHeight="1">
      <x:c r="A23" s="113" t="inlineStr">
        <x:is>
          <x:t xml:space="preserve">응답 필드 설명</x:t>
        </x:is>
      </x:c>
      <x:c r="B23" s="106" t="n"/>
      <x:c r="C23" s="106" t="n"/>
      <x:c r="D23" s="106" t="n"/>
      <x:c r="E23" s="106" t="n"/>
      <x:c r="F23" s="106" t="n"/>
      <x:c r="G23" s="106" t="n"/>
      <x:c r="H23" s="106" t="n"/>
    </x:row>
    <x:row r="24">
      <x:c r="A24" s="9" t="inlineStr">
        <x:is>
          <x:t xml:space="preserve">필드 경로</x:t>
        </x:is>
      </x:c>
      <x:c r="B24" s="10" t="inlineStr">
        <x:is>
          <x:t xml:space="preserve">타입</x:t>
        </x:is>
      </x:c>
      <x:c r="C24" s="10" t="inlineStr">
        <x:is>
          <x:t xml:space="preserve">필수/nullable</x:t>
        </x:is>
      </x:c>
      <x:c r="D24" s="11" t="inlineStr">
        <x:is>
          <x:t xml:space="preserve">필드 의미</x:t>
        </x:is>
      </x:c>
    </x:row>
    <x:row r="25">
      <x:c r="A25" s="67" t="inlineStr">
        <x:is>
          <x:t xml:space="preserve">userMessageId</x:t>
        </x:is>
      </x:c>
      <x:c r="B25" s="46" t="inlineStr">
        <x:is>
          <x:t xml:space="preserve">string</x:t>
        </x:is>
      </x:c>
      <x:c r="C25" s="46" t="inlineStr">
        <x:is>
          <x:t xml:space="preserve">필수</x:t>
        </x:is>
      </x:c>
      <x:c r="D25" s="68" t="inlineStr">
        <x:is>
          <x:t xml:space="preserve">저장된 사용자 메시지 ID</x:t>
        </x:is>
      </x:c>
    </x:row>
    <x:row r="26">
      <x:c r="A26" s="69" t="inlineStr">
        <x:is>
          <x:t xml:space="preserve">jobId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LLM Job ID</x:t>
        </x:is>
      </x:c>
    </x:row>
    <x:row r="27">
      <x:c r="A27" s="71" t="inlineStr">
        <x:is>
          <x:t xml:space="preserve">status</x:t>
        </x:is>
      </x:c>
      <x:c r="B27" s="48" t="inlineStr">
        <x:is>
          <x:t xml:space="preserve">string</x:t>
        </x:is>
      </x:c>
      <x:c r="C27" s="48" t="inlineStr">
        <x:is>
          <x:t xml:space="preserve">필수</x:t>
        </x:is>
      </x:c>
      <x:c r="D27" s="72" t="inlineStr">
        <x:is>
          <x:t xml:space="preserve">현재 처리/리소스 상태; 허용값: PENDING</x:t>
        </x:is>
      </x:c>
    </x:row>
    <x:row r="29" ht="24" customHeight="1">
      <x:c r="A29" s="113" t="inlineStr">
        <x:is>
          <x:t xml:space="preserve">오류 응답</x:t>
        </x:is>
      </x:c>
      <x:c r="B29" s="106" t="n"/>
      <x:c r="C29" s="106" t="n"/>
      <x:c r="D29" s="106" t="n"/>
      <x:c r="E29" s="106" t="n"/>
      <x:c r="F29" s="106" t="n"/>
      <x:c r="G29" s="106" t="n"/>
      <x:c r="H29" s="106" t="n"/>
    </x:row>
    <x:row r="30">
      <x:c r="A30" s="9" t="inlineStr">
        <x:is>
          <x:t xml:space="preserve">HTTP 상태</x:t>
        </x:is>
      </x:c>
      <x:c r="B30" s="10" t="inlineStr">
        <x:is>
          <x:t xml:space="preserve">오류 코드</x:t>
        </x:is>
      </x:c>
      <x:c r="C30" s="10" t="inlineStr">
        <x:is>
          <x:t xml:space="preserve">발생 조건</x:t>
        </x:is>
      </x:c>
      <x:c r="D30" s="10" t="inlineStr">
        <x:is>
          <x:t xml:space="preserve">프론트 처리</x:t>
        </x:is>
      </x:c>
      <x:c r="E30" s="11" t="inlineStr">
        <x:is>
          <x:t xml:space="preserve">현재 상태</x:t>
        </x:is>
      </x:c>
    </x:row>
    <x:row r="31">
      <x:c r="A31" s="67" t="inlineStr">
        <x:is>
          <x:t xml:space="preserve">404 Not Found</x:t>
        </x:is>
      </x:c>
      <x:c r="B31" s="46" t="inlineStr">
        <x:is>
          <x:t xml:space="preserve">NOT_FOUND</x:t>
        </x:is>
      </x:c>
      <x:c r="C31" s="46" t="inlineStr">
        <x:is>
          <x:t xml:space="preserve">대상이 없거나 접근 권한이 없음</x:t>
        </x:is>
      </x:c>
      <x:c r="D31" s="46" t="inlineStr">
        <x:is>
          <x:t xml:space="preserve">목록으로 이동하거나 삭제 상태 반영</x:t>
        </x:is>
      </x:c>
      <x:c r="E31" s="68" t="inlineStr">
        <x:is>
          <x:t xml:space="preserve">현재 구현</x:t>
        </x:is>
      </x:c>
    </x:row>
    <x:row r="32">
      <x:c r="A32" s="69" t="inlineStr">
        <x:is>
          <x:t xml:space="preserve">409 Conflict</x:t>
        </x:is>
      </x:c>
      <x:c r="B32" s="47" t="inlineStr">
        <x:is>
          <x:t xml:space="preserve">LLM_JOB_ALREADY_RUNNING</x:t>
        </x:is>
      </x:c>
      <x:c r="C32" s="47" t="inlineStr">
        <x:is>
          <x:t xml:space="preserve">동일 자기소개서에 진행 중인 LLM 작업이 있음</x:t>
        </x:is>
      </x:c>
      <x:c r="D32" s="47" t="inlineStr">
        <x:is>
          <x:t xml:space="preserve">기존 Job 상태 조회 화면으로 이동</x:t>
        </x:is>
      </x:c>
      <x:c r="E32" s="70" t="inlineStr">
        <x:is>
          <x:t xml:space="preserve">현재 구현</x:t>
        </x:is>
      </x:c>
    </x:row>
    <x:row r="33">
      <x:c r="A33" s="69" t="inlineStr">
        <x:is>
          <x:t xml:space="preserve">401 Unauthorized</x:t>
        </x:is>
      </x:c>
      <x:c r="B33" s="47" t="inlineStr">
        <x:is>
          <x:t xml:space="preserve">UNAUTHORIZED</x:t>
        </x:is>
      </x:c>
      <x:c r="C33" s="47" t="inlineStr">
        <x:is>
          <x:t xml:space="preserve">인증 쿠키가 없거나 유효하지 않음</x:t>
        </x:is>
      </x:c>
      <x:c r="D33" s="47" t="inlineStr">
        <x:is>
          <x:t xml:space="preserve">로그인 화면으로 이동</x:t>
        </x:is>
      </x:c>
      <x:c r="E33" s="70" t="inlineStr">
        <x:is>
          <x:t xml:space="preserve">계약 정의·인증 미구현</x:t>
        </x:is>
      </x:c>
    </x:row>
    <x:row r="34">
      <x:c r="A34" s="69" t="inlineStr">
        <x:is>
          <x:t xml:space="preserve">403 Forbidden</x:t>
        </x:is>
      </x:c>
      <x:c r="B34" s="47" t="inlineStr">
        <x:is>
          <x:t xml:space="preserve">CSRF_INVALID</x:t>
        </x:is>
      </x:c>
      <x:c r="C34" s="47" t="inlineStr">
        <x:is>
          <x:t xml:space="preserve">CSRF 토큰이 없거나 일치하지 않음</x:t>
        </x:is>
      </x:c>
      <x:c r="D34" s="47" t="inlineStr">
        <x:is>
          <x:t xml:space="preserve">토큰 갱신 후 1회 재시도</x:t>
        </x:is>
      </x:c>
      <x:c r="E34" s="70" t="inlineStr">
        <x:is>
          <x:t xml:space="preserve">계약 정의·CSRF 미구현</x:t>
        </x:is>
      </x:c>
    </x:row>
    <x:row r="35">
      <x:c r="A35" s="69" t="inlineStr">
        <x:is>
          <x:t xml:space="preserve">400 Bad Request</x:t>
        </x:is>
      </x:c>
      <x:c r="B35" s="47" t="inlineStr">
        <x:is>
          <x:t xml:space="preserve">VALIDATION_ERROR</x:t>
        </x:is>
      </x:c>
      <x:c r="C35" s="47" t="inlineStr">
        <x:is>
          <x:t xml:space="preserve">요청 값이 제약 조건을 위반함</x:t>
        </x:is>
      </x:c>
      <x:c r="D35" s="47" t="inlineStr">
        <x:is>
          <x:t xml:space="preserve">error.details의 field/reason을 입력 항목에 표시</x:t>
        </x:is>
      </x:c>
      <x:c r="E35" s="70" t="inlineStr">
        <x:is>
          <x:t xml:space="preserve">현재 구현</x:t>
        </x:is>
      </x:c>
    </x:row>
    <x:row r="36">
      <x:c r="A36" s="71" t="inlineStr">
        <x:is>
          <x:t xml:space="preserve">500 Internal Server Error</x:t>
        </x:is>
      </x:c>
      <x:c r="B36" s="48" t="inlineStr">
        <x:is>
          <x:t xml:space="preserve">INTERNAL_ERROR</x:t>
        </x:is>
      </x:c>
      <x:c r="C36" s="48" t="inlineStr">
        <x:is>
          <x:t xml:space="preserve">예상하지 못한 서버 오류</x:t>
        </x:is>
      </x:c>
      <x:c r="D36" s="48" t="inlineStr">
        <x:is>
          <x:t xml:space="preserve">재시도 안내 후 지속 시 오류 정보 전달</x:t>
        </x:is>
      </x:c>
      <x:c r="E36" s="72" t="inlineStr">
        <x:is>
          <x:t xml:space="preserve">현재 구현</x:t>
        </x:is>
      </x:c>
    </x:row>
  </x:sheetData>
  <x:mergeCells>
    <x:mergeCell ref="A4:H4"/>
    <x:mergeCell ref="A29:H29"/>
    <x:mergeCell ref="A16:H16"/>
    <x:mergeCell ref="A10:H10"/>
    <x:mergeCell ref="B2:H2"/>
    <x:mergeCell ref="A11:H11"/>
    <x:mergeCell ref="A13:H13"/>
    <x:mergeCell ref="A14:H14"/>
    <x:mergeCell ref="A1:H1"/>
    <x:mergeCell ref="A23:H23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922a6b6950dd47df"/>
    <x:tablePart xmlns:r="http://schemas.openxmlformats.org/officeDocument/2006/relationships" r:id="R5c7b90d007224886"/>
    <x:tablePart xmlns:r="http://schemas.openxmlformats.org/officeDocument/2006/relationships" r:id="R0581a18f4b534d2d"/>
  </x:tableParts>
</x:worksheet>
</file>

<file path=xl/worksheets/sheet25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API-024 · AI 첨삭 다시받기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POST /cover-letters/{coverLetterId}/review-versions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POST</x:v>
      </x:c>
      <x:c r="C5" s="213" t="str">
        <x:v>Path</x:v>
      </x:c>
      <x:c r="D5" s="177" t="str">
        <x:v>/cover-letters/{coverLetterId}/review-versions</x:v>
      </x:c>
      <x:c r="E5" s="213" t="str">
        <x:v>성공 상태</x:v>
      </x:c>
      <x:c r="F5" s="177" t="str">
        <x:v>200 OK</x:v>
      </x:c>
      <x:c r="G5" s="213" t="str">
        <x:v>가용 상태</x:v>
      </x:c>
      <x:c r="H5" s="177" t="str">
        <x:v>부분 구현·신규 계약 미구현</x:v>
      </x:c>
    </x:row>
    <x:row r="6" ht="22.5" customHeight="1">
      <x:c r="A6" s="213" t="str">
        <x:v>기능</x:v>
      </x:c>
      <x:c r="B6" s="177" t="str">
        <x:v>AI 첨삭 다시받기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필요 (미구현)</x:v>
      </x:c>
    </x:row>
    <x:row r="7" ht="22.5" customHeight="1">
      <x:c r="A7" s="213" t="str">
        <x:v>FE 호출</x:v>
      </x:c>
      <x:c r="B7" s="177" t="str">
        <x:v>fetch/axios에서 credentials 포함</x:v>
      </x:c>
      <x:c r="C7" s="177"/>
      <x:c r="D7" s="177"/>
      <x:c r="E7" s="213" t="str">
        <x:v>계약 구현</x:v>
      </x:c>
      <x:c r="F7" s="177" t="str">
        <x:v>부분 구현·신규 계약 미구현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100.5" customHeight="1">
      <x:c r="A11" s="221" t="str">
        <x:v>POST /cover-letters/cl_01HZ.../review-versions HTTP/1.1
Content-Type: application/json
Cookie: access_token=&lt;access_token&gt;
X-CSRF-Token: &lt;csrf_token&gt;
{
  "requestInstruction": "직무 키워드를 더 강조해주세요."
}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111.75" customHeight="1">
      <x:c r="A14" s="221" t="str">
        <x:v>HTTP/1.1 200 OK
Content-Type: application/json
{
  "jobId": "job_01HZ...",
  "coverLetterId": "cl_01HZ...",
  "coverLetterStatus": "REVIEWED",
  "jobStatus": "PENDING"
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path</x:v>
      </x:c>
      <x:c r="B18" s="233" t="str">
        <x:v>coverLetterId</x:v>
      </x:c>
      <x:c r="C18" s="233" t="str">
        <x:v>string</x:v>
      </x:c>
      <x:c r="D18" s="233" t="str">
        <x:v>필수</x:v>
      </x:c>
      <x:c r="E18" s="233" t="str">
        <x:v>자기소개서 ID</x:v>
      </x:c>
      <x:c r="F18" s="233"/>
      <x:c r="G18" s="233"/>
      <x:c r="H18" s="233"/>
    </x:row>
    <x:row r="19" ht="18" customHeight="1">
      <x:c r="A19" s="233" t="str">
        <x:v>body</x:v>
      </x:c>
      <x:c r="B19" s="233" t="str">
        <x:v>requestInstruction</x:v>
      </x:c>
      <x:c r="C19" s="233" t="str">
        <x:v>string</x:v>
      </x:c>
      <x:c r="D19" s="233" t="str">
        <x:v>선택</x:v>
      </x:c>
      <x:c r="E19" s="233" t="str">
        <x:v>최대 1000자</x:v>
      </x:c>
      <x:c r="F19" s="233"/>
      <x:c r="G19" s="233"/>
      <x:c r="H19" s="233"/>
    </x:row>
    <x:row r="20" ht="18" customHeight="1">
      <x:c r="A20" s="233" t="str">
        <x:v>cookie</x:v>
      </x:c>
      <x:c r="B20" s="233" t="str">
        <x:v>access_token</x:v>
      </x:c>
      <x:c r="C20" s="233" t="str">
        <x:v>string</x:v>
      </x:c>
      <x:c r="D20" s="233" t="str">
        <x:v>계약상 필수</x:v>
      </x:c>
      <x:c r="E20" s="233" t="str">
        <x:v>현재 사용자 인증 cookie (인증 미구현)</x:v>
      </x:c>
      <x:c r="F20" s="233"/>
      <x:c r="G20" s="233"/>
      <x:c r="H20" s="233"/>
    </x:row>
    <x:row r="21" ht="18" customHeight="1">
      <x:c r="A21" s="233" t="str">
        <x:v>header</x:v>
      </x:c>
      <x:c r="B21" s="233" t="str">
        <x:v>X-CSRF-Token</x:v>
      </x:c>
      <x:c r="C21" s="233" t="str">
        <x:v>string</x:v>
      </x:c>
      <x:c r="D21" s="233" t="str">
        <x:v>계약상 필수</x:v>
      </x:c>
      <x:c r="E21" s="233" t="str">
        <x:v>상태 변경 요청 CSRF 토큰 (미구현)</x:v>
      </x:c>
      <x:c r="F21" s="233"/>
      <x:c r="G21" s="233"/>
      <x:c r="H21" s="233"/>
    </x:row>
    <x:row r="23" ht="19.5" customHeight="1">
      <x:c r="A23" s="208" t="str">
        <x:v>응답 필드 설명</x:v>
      </x:c>
      <x:c r="B23" s="208"/>
      <x:c r="C23" s="208"/>
      <x:c r="D23" s="208"/>
      <x:c r="E23" s="208"/>
      <x:c r="F23" s="208"/>
      <x:c r="G23" s="208"/>
      <x:c r="H23" s="208"/>
    </x:row>
    <x:row r="24" ht="18" customHeight="1">
      <x:c r="A24" s="228" t="str">
        <x:v>위치</x:v>
      </x:c>
      <x:c r="B24" s="228" t="str">
        <x:v>필드 경로</x:v>
      </x:c>
      <x:c r="C24" s="228" t="str">
        <x:v>타입</x:v>
      </x:c>
      <x:c r="D24" s="228" t="str">
        <x:v>필수 여부</x:v>
      </x:c>
      <x:c r="E24" s="228" t="str">
        <x:v>의미·제약</x:v>
      </x:c>
      <x:c r="F24" s="228"/>
      <x:c r="G24" s="228"/>
      <x:c r="H24" s="228"/>
    </x:row>
    <x:row r="25" ht="18" customHeight="1">
      <x:c r="A25" s="233" t="str">
        <x:v>body</x:v>
      </x:c>
      <x:c r="B25" s="233" t="str">
        <x:v>jobId</x:v>
      </x:c>
      <x:c r="C25" s="233" t="str">
        <x:v>string</x:v>
      </x:c>
      <x:c r="D25" s="233" t="str">
        <x:v>필수</x:v>
      </x:c>
      <x:c r="E25" s="233" t="str">
        <x:v>재첨삭 Job ID</x:v>
      </x:c>
      <x:c r="F25" s="233"/>
      <x:c r="G25" s="233"/>
      <x:c r="H25" s="233"/>
    </x:row>
    <x:row r="26" ht="18" customHeight="1">
      <x:c r="A26" s="233" t="str">
        <x:v>body</x:v>
      </x:c>
      <x:c r="B26" s="233" t="str">
        <x:v>coverLetterId</x:v>
      </x:c>
      <x:c r="C26" s="233" t="str">
        <x:v>string</x:v>
      </x:c>
      <x:c r="D26" s="233" t="str">
        <x:v>필수</x:v>
      </x:c>
      <x:c r="E26" s="233" t="str">
        <x:v>자기소개서 ID</x:v>
      </x:c>
      <x:c r="F26" s="233"/>
      <x:c r="G26" s="233"/>
      <x:c r="H26" s="233"/>
    </x:row>
    <x:row r="27" ht="18" customHeight="1">
      <x:c r="A27" s="233" t="str">
        <x:v>body</x:v>
      </x:c>
      <x:c r="B27" s="233" t="str">
        <x:v>coverLetterStatus</x:v>
      </x:c>
      <x:c r="C27" s="233" t="str">
        <x:v>string</x:v>
      </x:c>
      <x:c r="D27" s="233" t="str">
        <x:v>필수</x:v>
      </x:c>
      <x:c r="E27" s="233" t="str">
        <x:v>재첨삭 중에도 REVIEWED 유지</x:v>
      </x:c>
      <x:c r="F27" s="233"/>
      <x:c r="G27" s="233"/>
      <x:c r="H27" s="233"/>
    </x:row>
    <x:row r="28" ht="18" customHeight="1">
      <x:c r="A28" s="233" t="str">
        <x:v>body</x:v>
      </x:c>
      <x:c r="B28" s="233" t="str">
        <x:v>jobStatus</x:v>
      </x:c>
      <x:c r="C28" s="233" t="str">
        <x:v>string</x:v>
      </x:c>
      <x:c r="D28" s="233" t="str">
        <x:v>필수</x:v>
      </x:c>
      <x:c r="E28" s="233" t="str">
        <x:v>PENDING</x:v>
      </x:c>
      <x:c r="F28" s="233"/>
      <x:c r="G28" s="233"/>
      <x:c r="H28" s="233"/>
    </x:row>
    <x:row r="30" ht="19.5" customHeight="1">
      <x:c r="A30" s="208" t="str">
        <x:v>오류 응답</x:v>
      </x:c>
      <x:c r="B30" s="208"/>
      <x:c r="C30" s="208"/>
      <x:c r="D30" s="208"/>
      <x:c r="E30" s="208"/>
      <x:c r="F30" s="208"/>
      <x:c r="G30" s="208"/>
      <x:c r="H30" s="208"/>
    </x:row>
    <x:row r="31">
      <x:c r="A31" s="228" t="str">
        <x:v>HTTP 상태</x:v>
      </x:c>
      <x:c r="B31" s="228" t="str">
        <x:v>오류 코드</x:v>
      </x:c>
      <x:c r="C31" s="228" t="str">
        <x:v>발생 조건</x:v>
      </x:c>
      <x:c r="D31" s="228" t="str">
        <x:v>프론트 처리</x:v>
      </x:c>
      <x:c r="E31" s="228"/>
      <x:c r="F31" s="228" t="str">
        <x:v>현재 상태</x:v>
      </x:c>
      <x:c r="G31" s="228"/>
      <x:c r="H31" s="228"/>
    </x:row>
    <x:row r="32" ht="21" customHeight="1">
      <x:c r="A32" s="233" t="str">
        <x:v>400 Bad Request</x:v>
      </x:c>
      <x:c r="B32" s="233" t="str">
        <x:v>VALIDATION_ERROR</x:v>
      </x:c>
      <x:c r="C32" s="233" t="str">
        <x:v>요구사항이 1000자를 초과하거나 자기소개서 상태가 유효하지 않음</x:v>
      </x:c>
      <x:c r="D32" s="233" t="str">
        <x:v>입력/현재 상태 확인</x:v>
      </x:c>
      <x:c r="E32" s="233"/>
      <x:c r="F32" s="233" t="str">
        <x:v>현재 구현</x:v>
      </x:c>
      <x:c r="G32" s="233"/>
      <x:c r="H32" s="233"/>
    </x:row>
    <x:row r="33" ht="21" customHeight="1">
      <x:c r="A33" s="233" t="str">
        <x:v>409 Conflict</x:v>
      </x:c>
      <x:c r="B33" s="233" t="str">
        <x:v>LLM_JOB_ALREADY_RUNNING</x:v>
      </x:c>
      <x:c r="C33" s="233" t="str">
        <x:v>같은 자기소개서의 다른 LLM Job이 진행 중</x:v>
      </x:c>
      <x:c r="D33" s="233" t="str">
        <x:v>진행 중 작업 안내</x:v>
      </x:c>
      <x:c r="E33" s="233"/>
      <x:c r="F33" s="233" t="str">
        <x:v>현재 구현</x:v>
      </x:c>
      <x:c r="G33" s="233"/>
      <x:c r="H33" s="233"/>
    </x:row>
    <x:row r="34" ht="21" customHeight="1">
      <x:c r="A34" s="233" t="str">
        <x:v>401 Unauthorized</x:v>
      </x:c>
      <x:c r="B34" s="233" t="str">
        <x:v>UNAUTHORIZED</x:v>
      </x:c>
      <x:c r="C34" s="233" t="str">
        <x:v>인증 cookie가 없거나 유효하지 않음</x:v>
      </x:c>
      <x:c r="D34" s="233" t="str">
        <x:v>로그인 화면으로 이동</x:v>
      </x:c>
      <x:c r="E34" s="233"/>
      <x:c r="F34" s="233" t="str">
        <x:v>계약 정의·인증 미구현</x:v>
      </x:c>
      <x:c r="G34" s="233"/>
      <x:c r="H34" s="233"/>
    </x:row>
    <x:row r="35" ht="21" customHeight="1">
      <x:c r="A35" s="233" t="str">
        <x:v>404 Not Found</x:v>
      </x:c>
      <x:c r="B35" s="233" t="str">
        <x:v>NOT_FOUND</x:v>
      </x:c>
      <x:c r="C35" s="233" t="str">
        <x:v>리소스가 없거나 소유자가 다르거나 삭제됨</x:v>
      </x:c>
      <x:c r="D35" s="233" t="str">
        <x:v>목록으로 이동하거나 삭제 상태 반영</x:v>
      </x:c>
      <x:c r="E35" s="233"/>
      <x:c r="F35" s="233" t="str">
        <x:v>현재 구현/신규 API는 구현 예정</x:v>
      </x:c>
      <x:c r="G35" s="233"/>
      <x:c r="H35" s="233"/>
    </x:row>
    <x:row r="36" ht="21" customHeight="1">
      <x:c r="A36" s="233" t="str">
        <x:v>500 Internal Server Error</x:v>
      </x:c>
      <x:c r="B36" s="233" t="str">
        <x:v>INTERNAL_ERROR</x:v>
      </x:c>
      <x:c r="C36" s="233" t="str">
        <x:v>예상하지 못한 서버 오류</x:v>
      </x:c>
      <x:c r="D36" s="233" t="str">
        <x:v>재시도 안내 후 지속 시 오류 정보 전달</x:v>
      </x:c>
      <x:c r="E36" s="233"/>
      <x:c r="F36" s="233" t="str">
        <x:v>공통 처리</x:v>
      </x:c>
      <x:c r="G36" s="233"/>
      <x:c r="H36" s="233"/>
    </x:row>
    <x:row r="37">
      <x:c r="A37"/>
      <x:c r="B37"/>
      <x:c r="C37"/>
      <x:c r="D37"/>
      <x:c r="E37"/>
    </x:row>
    <x:row r="38" ht="19.5" customHeight="1">
      <x:c r="A38" s="208" t="str">
        <x:v>프론트엔드 구현 메모</x:v>
      </x:c>
      <x:c r="B38" s="208"/>
      <x:c r="C38" s="208"/>
      <x:c r="D38" s="208"/>
      <x:c r="E38" s="208"/>
      <x:c r="F38" s="208"/>
      <x:c r="G38" s="208"/>
      <x:c r="H38" s="208"/>
    </x:row>
    <x:row r="39" ht="36" customHeight="1">
      <x:c r="A39" s="233" t="str">
        <x:v>Job 생성 endpoint는 구현되어 있다. 신규 계약은 요청 시점 최신 ReviewVersion을 requestRef로 고정하고 finalAnswer를 입력으로 사용한다. 이전 AI 결과를 새 진행 결과로 복사하지 않으며 완료 문항부터 임시 저장·SSE 전송 후 전체 성공 시 새 버전을 만든다.</x:v>
      </x:c>
      <x:c r="B39" s="233"/>
      <x:c r="C39" s="233"/>
      <x:c r="D39" s="233"/>
      <x:c r="E39" s="233"/>
      <x:c r="F39" s="233"/>
      <x:c r="G39" s="233"/>
      <x:c r="H39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E20:H20"/>
    <x:mergeCell ref="E21:H21"/>
    <x:mergeCell ref="A23:H23"/>
    <x:mergeCell ref="E24:H24"/>
    <x:mergeCell ref="E25:H25"/>
    <x:mergeCell ref="E26:H26"/>
    <x:mergeCell ref="E27:H27"/>
    <x:mergeCell ref="E28:H28"/>
    <x:mergeCell ref="A30:H30"/>
    <x:mergeCell ref="D31:E31"/>
    <x:mergeCell ref="F31:H31"/>
    <x:mergeCell ref="D32:E32"/>
    <x:mergeCell ref="F32:H32"/>
    <x:mergeCell ref="D33:E33"/>
    <x:mergeCell ref="F33:H33"/>
    <x:mergeCell ref="D34:E34"/>
    <x:mergeCell ref="F34:H34"/>
    <x:mergeCell ref="D35:E35"/>
    <x:mergeCell ref="F35:H35"/>
    <x:mergeCell ref="D36:E36"/>
    <x:mergeCell ref="F36:H36"/>
    <x:mergeCell ref="A38:H38"/>
    <x:mergeCell ref="A39:H39"/>
  </x:mergeCells>
  <x:pageMargins left="0.7" right="0.7" top="0.75" bottom="0.75" header="0.3" footer="0.3"/>
  <x:pageSetup paperSize="9" orientation="landscape" fitToWidth="1" fitToHeight="0"/>
</x:worksheet>
</file>

<file path=xl/worksheets/sheet26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API-025  ·  현재 면접 세션 조회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/cover-letters/{coverLetterId}/interview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/cover-letters/{coverLetterId}/interview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현재 면접 세션 조회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/cover-letters/cl_01HZ.../interview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12" customHeight="1">
      <x:c r="A14" s="115" t="inlineStr">
        <x:is>
          <x:t xml:space="preserve">HTTP/1.1 200 OK
Content-Type: application/json
{
  "coverLetterId": "cl_01HZ...",
  "interviewSession": null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coverLetterId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자기소개서 ID</x:t>
        </x:is>
      </x:c>
    </x:row>
    <x:row r="19">
      <x:c r="A19" s="71" t="inlineStr">
        <x:is>
          <x:t xml:space="preserve">cookie</x:t>
        </x:is>
      </x:c>
      <x:c r="B19" s="48" t="inlineStr">
        <x:is>
          <x:t xml:space="preserve">access_token</x:t>
        </x:is>
      </x:c>
      <x:c r="C19" s="48" t="inlineStr">
        <x:is>
          <x:t xml:space="preserve">string</x:t>
        </x:is>
      </x:c>
      <x:c r="D19" s="48" t="inlineStr">
        <x:is>
          <x:t xml:space="preserve">계약상 필수 (현재 미검증)</x:t>
        </x:is>
      </x:c>
      <x:c r="E19" s="72" t="inlineStr">
        <x:is>
          <x:t xml:space="preserve">현재 사용자 인증 cookie</x:t>
        </x:is>
      </x:c>
    </x:row>
    <x:row r="21" ht="24" customHeight="1">
      <x:c r="A21" s="113" t="inlineStr">
        <x:is>
          <x:t xml:space="preserve">응답 필드 설명</x:t>
        </x:is>
      </x:c>
      <x:c r="B21" s="106" t="n"/>
      <x:c r="C21" s="106" t="n"/>
      <x:c r="D21" s="106" t="n"/>
      <x:c r="E21" s="106" t="n"/>
      <x:c r="F21" s="106" t="n"/>
      <x:c r="G21" s="106" t="n"/>
      <x:c r="H21" s="106" t="n"/>
    </x:row>
    <x:row r="22">
      <x:c r="A22" s="9" t="inlineStr">
        <x:is>
          <x:t xml:space="preserve">필드 경로</x:t>
        </x:is>
      </x:c>
      <x:c r="B22" s="10" t="inlineStr">
        <x:is>
          <x:t xml:space="preserve">타입</x:t>
        </x:is>
      </x:c>
      <x:c r="C22" s="10" t="inlineStr">
        <x:is>
          <x:t xml:space="preserve">필수/nullable</x:t>
        </x:is>
      </x:c>
      <x:c r="D22" s="11" t="inlineStr">
        <x:is>
          <x:t xml:space="preserve">필드 의미</x:t>
        </x:is>
      </x:c>
    </x:row>
    <x:row r="23">
      <x:c r="A23" s="67" t="inlineStr">
        <x:is>
          <x:t xml:space="preserve">coverLetterId</x:t>
        </x:is>
      </x:c>
      <x:c r="B23" s="46" t="inlineStr">
        <x:is>
          <x:t xml:space="preserve">string</x:t>
        </x:is>
      </x:c>
      <x:c r="C23" s="46" t="inlineStr">
        <x:is>
          <x:t xml:space="preserve">필수</x:t>
        </x:is>
      </x:c>
      <x:c r="D23" s="68" t="inlineStr">
        <x:is>
          <x:t xml:space="preserve">자기소개서 ID</x:t>
        </x:is>
      </x:c>
    </x:row>
    <x:row r="24">
      <x:c r="A24" s="69" t="inlineStr">
        <x:is>
          <x:t xml:space="preserve">interviewSession</x:t>
        </x:is>
      </x:c>
      <x:c r="B24" s="47" t="inlineStr">
        <x:is>
          <x:t xml:space="preserve">object</x:t>
        </x:is>
      </x:c>
      <x:c r="C24" s="47" t="inlineStr">
        <x:is>
          <x:t xml:space="preserve">조건부/nullable</x:t>
        </x:is>
      </x:c>
      <x:c r="D24" s="70" t="inlineStr">
        <x:is>
          <x:t xml:space="preserve">현재 면접 세션; 없으면 null</x:t>
        </x:is>
      </x:c>
    </x:row>
    <x:row r="25">
      <x:c r="A25" s="69" t="inlineStr">
        <x:is>
          <x:t xml:space="preserve">interviewSession.id</x:t>
        </x:is>
      </x:c>
      <x:c r="B25" s="47" t="inlineStr">
        <x:is>
          <x:t xml:space="preserve">string</x:t>
        </x:is>
      </x:c>
      <x:c r="C25" s="47" t="inlineStr">
        <x:is>
          <x:t xml:space="preserve">interviewSession 존재 시 필수</x:t>
        </x:is>
      </x:c>
      <x:c r="D25" s="70" t="inlineStr">
        <x:is>
          <x:t xml:space="preserve">리소스 고유 ID</x:t>
        </x:is>
      </x:c>
    </x:row>
    <x:row r="26">
      <x:c r="A26" s="69" t="inlineStr">
        <x:is>
          <x:t xml:space="preserve">interviewSession.initialSourceReviewVersionId</x:t>
        </x:is>
      </x:c>
      <x:c r="B26" s="47" t="inlineStr">
        <x:is>
          <x:t xml:space="preserve">string</x:t>
        </x:is>
      </x:c>
      <x:c r="C26" s="47" t="inlineStr">
        <x:is>
          <x:t xml:space="preserve">interviewSession 존재 시 필수</x:t>
        </x:is>
      </x:c>
      <x:c r="D26" s="70" t="inlineStr">
        <x:is>
          <x:t xml:space="preserve">면접 최초 질문 생성 기준 첨삭 버전 ID</x:t>
        </x:is>
      </x:c>
    </x:row>
    <x:row r="27">
      <x:c r="A27" s="69" t="inlineStr">
        <x:is>
          <x:t xml:space="preserve">interviewSession.status</x:t>
        </x:is>
      </x:c>
      <x:c r="B27" s="47" t="inlineStr">
        <x:is>
          <x:t xml:space="preserve">string</x:t>
        </x:is>
      </x:c>
      <x:c r="C27" s="47" t="inlineStr">
        <x:is>
          <x:t xml:space="preserve">interviewSession 존재 시 필수</x:t>
        </x:is>
      </x:c>
      <x:c r="D27" s="70" t="inlineStr">
        <x:is>
          <x:t xml:space="preserve">현재 처리/리소스 상태; 허용값: QUESTION_GENERATING | ACTIVE | FAILED</x:t>
        </x:is>
      </x:c>
    </x:row>
    <x:row r="28">
      <x:c r="A28" s="71" t="inlineStr">
        <x:is>
          <x:t xml:space="preserve">interviewSession.createdAt</x:t>
        </x:is>
      </x:c>
      <x:c r="B28" s="48" t="inlineStr">
        <x:is>
          <x:t xml:space="preserve">string</x:t>
        </x:is>
      </x:c>
      <x:c r="C28" s="48" t="inlineStr">
        <x:is>
          <x:t xml:space="preserve">interviewSession 존재 시 필수</x:t>
        </x:is>
      </x:c>
      <x:c r="D28" s="72" t="inlineStr">
        <x:is>
          <x:t xml:space="preserve">생성 일시</x:t>
        </x:is>
      </x:c>
    </x:row>
    <x:row r="30" ht="24" customHeight="1">
      <x:c r="A30" s="113" t="inlineStr">
        <x:is>
          <x:t xml:space="preserve">오류 응답</x:t>
        </x:is>
      </x:c>
      <x:c r="B30" s="106" t="n"/>
      <x:c r="C30" s="106" t="n"/>
      <x:c r="D30" s="106" t="n"/>
      <x:c r="E30" s="106" t="n"/>
      <x:c r="F30" s="106" t="n"/>
      <x:c r="G30" s="106" t="n"/>
      <x:c r="H30" s="106" t="n"/>
    </x:row>
    <x:row r="31">
      <x:c r="A31" s="9" t="inlineStr">
        <x:is>
          <x:t xml:space="preserve">HTTP 상태</x:t>
        </x:is>
      </x:c>
      <x:c r="B31" s="10" t="inlineStr">
        <x:is>
          <x:t xml:space="preserve">오류 코드</x:t>
        </x:is>
      </x:c>
      <x:c r="C31" s="10" t="inlineStr">
        <x:is>
          <x:t xml:space="preserve">발생 조건</x:t>
        </x:is>
      </x:c>
      <x:c r="D31" s="10" t="inlineStr">
        <x:is>
          <x:t xml:space="preserve">프론트 처리</x:t>
        </x:is>
      </x:c>
      <x:c r="E31" s="11" t="inlineStr">
        <x:is>
          <x:t xml:space="preserve">현재 상태</x:t>
        </x:is>
      </x:c>
    </x:row>
    <x:row r="32">
      <x:c r="A32" s="67" t="inlineStr">
        <x:is>
          <x:t xml:space="preserve">404 Not Found</x:t>
        </x:is>
      </x:c>
      <x:c r="B32" s="46" t="inlineStr">
        <x:is>
          <x:t xml:space="preserve">NOT_FOUND</x:t>
        </x:is>
      </x:c>
      <x:c r="C32" s="46" t="inlineStr">
        <x:is>
          <x:t xml:space="preserve">대상이 없거나 접근 권한이 없음</x:t>
        </x:is>
      </x:c>
      <x:c r="D32" s="46" t="inlineStr">
        <x:is>
          <x:t xml:space="preserve">목록으로 이동하거나 삭제 상태 반영</x:t>
        </x:is>
      </x:c>
      <x:c r="E32" s="68" t="inlineStr">
        <x:is>
          <x:t xml:space="preserve">현재 구현</x:t>
        </x:is>
      </x:c>
    </x:row>
    <x:row r="33">
      <x:c r="A33" s="69" t="inlineStr">
        <x:is>
          <x:t xml:space="preserve">401 Unauthorized</x:t>
        </x:is>
      </x:c>
      <x:c r="B33" s="47" t="inlineStr">
        <x:is>
          <x:t xml:space="preserve">UNAUTHORIZED</x:t>
        </x:is>
      </x:c>
      <x:c r="C33" s="47" t="inlineStr">
        <x:is>
          <x:t xml:space="preserve">인증 쿠키가 없거나 유효하지 않음</x:t>
        </x:is>
      </x:c>
      <x:c r="D33" s="47" t="inlineStr">
        <x:is>
          <x:t xml:space="preserve">로그인 화면으로 이동</x:t>
        </x:is>
      </x:c>
      <x:c r="E33" s="70" t="inlineStr">
        <x:is>
          <x:t xml:space="preserve">계약 정의·인증 미구현</x:t>
        </x:is>
      </x:c>
    </x:row>
    <x:row r="34">
      <x:c r="A34" s="71" t="inlineStr">
        <x:is>
          <x:t xml:space="preserve">500 Internal Server Error</x:t>
        </x:is>
      </x:c>
      <x:c r="B34" s="48" t="inlineStr">
        <x:is>
          <x:t xml:space="preserve">INTERNAL_ERROR</x:t>
        </x:is>
      </x:c>
      <x:c r="C34" s="48" t="inlineStr">
        <x:is>
          <x:t xml:space="preserve">예상하지 못한 서버 오류</x:t>
        </x:is>
      </x:c>
      <x:c r="D34" s="48" t="inlineStr">
        <x:is>
          <x:t xml:space="preserve">재시도 안내 후 지속 시 오류 정보 전달</x:t>
        </x:is>
      </x:c>
      <x:c r="E34" s="72" t="inlineStr">
        <x:is>
          <x:t xml:space="preserve">현재 구현</x:t>
        </x:is>
      </x:c>
    </x:row>
  </x:sheetData>
  <x:mergeCells>
    <x:mergeCell ref="A4:H4"/>
    <x:mergeCell ref="A21:H21"/>
    <x:mergeCell ref="A30:H30"/>
    <x:mergeCell ref="A16:H16"/>
    <x:mergeCell ref="A10:H10"/>
    <x:mergeCell ref="B2:H2"/>
    <x:mergeCell ref="A11:H11"/>
    <x:mergeCell ref="A13:H13"/>
    <x:mergeCell ref="A14:H14"/>
    <x:mergeCell ref="A1:H1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379f09f09e4940ae"/>
    <x:tablePart xmlns:r="http://schemas.openxmlformats.org/officeDocument/2006/relationships" r:id="Rfa6dcab7352f403b"/>
    <x:tablePart xmlns:r="http://schemas.openxmlformats.org/officeDocument/2006/relationships" r:id="R8fee6d8e1a9d4839"/>
  </x:tableParts>
</x:worksheet>
</file>

<file path=xl/worksheets/sheet27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API-026  ·  유형 구분 없는 자기소개서 기반 면접 질문 목록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/interviews/{interviewSessionId}/questions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/interviews/{interviewSessionId}/questions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유형 구분 없는 자기소개서 기반 면접 질문 목록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/interviews/is_01HZ.../questions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350" customHeight="1">
      <x:c r="A14" s="115" t="inlineStr">
        <x:is>
          <x:t xml:space="preserve">HTTP/1.1 200 OK
Content-Type: application/json
{
  "interviewSessionId": "is_01HZ...",
  "items": [
    {
      "id": "iq_01HZ...",
      "sourceReviewVersionId": "rv_01HZ...",
      "order": 1,
      "question": "프로젝트에서 맡은 역할을 더 구체적으로 설명해 주세요.",
      "threadId": "it_01HZ..."
    },
    {
      "id": "iq_01HY...",
      "sourceReviewVersionId": "rv_01HZ...",
      "order": 2,
      "question": "지원 동기에서 언급한 회사 선택 기준을 실제 경험과 연결해 설명해 주세요.",
      "threadId": "it_01HY..."
    },
    {
      "id": "iq_01HX...",
      "sourceReviewVersionId": "rv_01HZ...",
      "order": 3,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5" ht="280" customHeight="1">
      <x:c r="A15" s="115" t="inlineStr">
        <x:is>
          <x:t xml:space="preserve">      "question": "자기소개서에 작성한 협업 경험에서 갈등을 어떻게 해결했는지 설명해 주세요.",
      "threadId": "it_01HX..."
    },
    {
      "id": "iq_01HW...",
      "sourceReviewVersionId": "rv_01HZ...",
      "order": 4,
      "question": "프로젝트 성과를 만들기 위해 본인이 직접 수행한 행동을 설명해 주세요.",
      "threadId": "it_01HW..."
    },
    {
      "id": "iq_01HV...",
      "sourceReviewVersionId": "rv_01HZ...",
      "order": 5,
      "question": "문제 해결 과정에서 가장 중요하게 내린 의사결정을 설명해 주세요.",
      "threadId": "it_01HV..."
    }
  ]
}</x:t>
        </x:is>
      </x:c>
      <x:c r="B15" s="116" t="n"/>
      <x:c r="C15" s="116" t="n"/>
      <x:c r="D15" s="116" t="n"/>
      <x:c r="E15" s="116" t="n"/>
      <x:c r="F15" s="116" t="n"/>
      <x:c r="G15" s="116" t="n"/>
      <x:c r="H15" s="117" t="n"/>
    </x:row>
    <x:row r="17" ht="24" customHeight="1">
      <x:c r="A17" s="113" t="inlineStr">
        <x:is>
          <x:t xml:space="preserve">요청 필드 설명</x:t>
        </x:is>
      </x:c>
      <x:c r="B17" s="106" t="n"/>
      <x:c r="C17" s="106" t="n"/>
      <x:c r="D17" s="106" t="n"/>
      <x:c r="E17" s="106" t="n"/>
      <x:c r="F17" s="106" t="n"/>
      <x:c r="G17" s="106" t="n"/>
      <x:c r="H17" s="106" t="n"/>
    </x:row>
    <x:row r="18">
      <x:c r="A18" s="9" t="inlineStr">
        <x:is>
          <x:t xml:space="preserve">위치</x:t>
        </x:is>
      </x:c>
      <x:c r="B18" s="10" t="inlineStr">
        <x:is>
          <x:t xml:space="preserve">필드 경로</x:t>
        </x:is>
      </x:c>
      <x:c r="C18" s="10" t="inlineStr">
        <x:is>
          <x:t xml:space="preserve">타입</x:t>
        </x:is>
      </x:c>
      <x:c r="D18" s="10" t="inlineStr">
        <x:is>
          <x:t xml:space="preserve">필수 여부</x:t>
        </x:is>
      </x:c>
      <x:c r="E18" s="11" t="inlineStr">
        <x:is>
          <x:t xml:space="preserve">의미·제약</x:t>
        </x:is>
      </x:c>
    </x:row>
    <x:row r="19">
      <x:c r="A19" s="67" t="inlineStr">
        <x:is>
          <x:t xml:space="preserve">path</x:t>
        </x:is>
      </x:c>
      <x:c r="B19" s="46" t="inlineStr">
        <x:is>
          <x:t xml:space="preserve">interviewSessionId</x:t>
        </x:is>
      </x:c>
      <x:c r="C19" s="46" t="inlineStr">
        <x:is>
          <x:t xml:space="preserve">string</x:t>
        </x:is>
      </x:c>
      <x:c r="D19" s="46" t="inlineStr">
        <x:is>
          <x:t xml:space="preserve">필수</x:t>
        </x:is>
      </x:c>
      <x:c r="E19" s="68" t="inlineStr">
        <x:is>
          <x:t xml:space="preserve">면접 세션 ID</x:t>
        </x:is>
      </x:c>
    </x:row>
    <x:row r="20">
      <x:c r="A20" s="71" t="inlineStr">
        <x:is>
          <x:t xml:space="preserve">cookie</x:t>
        </x:is>
      </x:c>
      <x:c r="B20" s="48" t="inlineStr">
        <x:is>
          <x:t xml:space="preserve">access_token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현재 사용자 인증 cookie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67" t="inlineStr">
        <x:is>
          <x:t xml:space="preserve">interviewSessionId</x:t>
        </x:is>
      </x:c>
      <x:c r="B24" s="46" t="inlineStr">
        <x:is>
          <x:t xml:space="preserve">string</x:t>
        </x:is>
      </x:c>
      <x:c r="C24" s="46" t="inlineStr">
        <x:is>
          <x:t xml:space="preserve">필수</x:t>
        </x:is>
      </x:c>
      <x:c r="D24" s="68" t="inlineStr">
        <x:is>
          <x:t xml:space="preserve">면접 세션 ID</x:t>
        </x:is>
      </x:c>
    </x:row>
    <x:row r="25">
      <x:c r="A25" s="69" t="inlineStr">
        <x:is>
          <x:t xml:space="preserve">items</x:t>
        </x:is>
      </x:c>
      <x:c r="B25" s="47" t="inlineStr">
        <x:is>
          <x:t xml:space="preserve">array</x:t>
        </x:is>
      </x:c>
      <x:c r="C25" s="47" t="inlineStr">
        <x:is>
          <x:t xml:space="preserve">필수</x:t>
        </x:is>
      </x:c>
      <x:c r="D25" s="70" t="inlineStr">
        <x:is>
          <x:t xml:space="preserve">목록 항목 배열</x:t>
        </x:is>
      </x:c>
    </x:row>
    <x:row r="26">
      <x:c r="A26" s="69" t="inlineStr">
        <x:is>
          <x:t xml:space="preserve">items[].id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리소스 고유 ID</x:t>
        </x:is>
      </x:c>
    </x:row>
    <x:row r="27">
      <x:c r="A27" s="69" t="inlineStr">
        <x:is>
          <x:t xml:space="preserve">items[].sourceReviewVersionId</x:t>
        </x:is>
      </x:c>
      <x:c r="B27" s="47" t="inlineStr">
        <x:is>
          <x:t xml:space="preserve">string</x:t>
        </x:is>
      </x:c>
      <x:c r="C27" s="47" t="inlineStr">
        <x:is>
          <x:t xml:space="preserve">필수</x:t>
        </x:is>
      </x:c>
      <x:c r="D27" s="70" t="inlineStr">
        <x:is>
          <x:t xml:space="preserve">분석/질문 생성 기준 첨삭 버전 ID</x:t>
        </x:is>
      </x:c>
    </x:row>
    <x:row r="28">
      <x:c r="A28" s="69" t="inlineStr">
        <x:is>
          <x:t xml:space="preserve">items[].order</x:t>
        </x:is>
      </x:c>
      <x:c r="B28" s="47" t="inlineStr">
        <x:is>
          <x:t xml:space="preserve">integer</x:t>
        </x:is>
      </x:c>
      <x:c r="C28" s="47" t="inlineStr">
        <x:is>
          <x:t xml:space="preserve">필수</x:t>
        </x:is>
      </x:c>
      <x:c r="D28" s="70" t="inlineStr">
        <x:is>
          <x:t xml:space="preserve">표시/저장 순서</x:t>
        </x:is>
      </x:c>
    </x:row>
    <x:row r="29">
      <x:c r="A29" s="69" t="inlineStr">
        <x:is>
          <x:t xml:space="preserve">items[].question</x:t>
        </x:is>
      </x:c>
      <x:c r="B29" s="47" t="inlineStr">
        <x:is>
          <x:t xml:space="preserve">string</x:t>
        </x:is>
      </x:c>
      <x:c r="C29" s="47" t="inlineStr">
        <x:is>
          <x:t xml:space="preserve">필수</x:t>
        </x:is>
      </x:c>
      <x:c r="D29" s="70" t="inlineStr">
        <x:is>
          <x:t xml:space="preserve">자기소개서 또는 면접 질문</x:t>
        </x:is>
      </x:c>
    </x:row>
    <x:row r="30">
      <x:c r="A30" s="71" t="inlineStr">
        <x:is>
          <x:t xml:space="preserve">items[].threadId</x:t>
        </x:is>
      </x:c>
      <x:c r="B30" s="48" t="inlineStr">
        <x:is>
          <x:t xml:space="preserve">string</x:t>
        </x:is>
      </x:c>
      <x:c r="C30" s="48" t="inlineStr">
        <x:is>
          <x:t xml:space="preserve">필수</x:t>
        </x:is>
      </x:c>
      <x:c r="D30" s="72" t="inlineStr">
        <x:is>
          <x:t xml:space="preserve">면접 대화방 ID</x:t>
        </x:is>
      </x:c>
    </x:row>
    <x:row r="32" ht="24" customHeight="1">
      <x:c r="A32" s="113" t="inlineStr">
        <x:is>
          <x:t xml:space="preserve">오류 응답</x:t>
        </x:is>
      </x:c>
      <x:c r="B32" s="106" t="n"/>
      <x:c r="C32" s="106" t="n"/>
      <x:c r="D32" s="106" t="n"/>
      <x:c r="E32" s="106" t="n"/>
      <x:c r="F32" s="106" t="n"/>
      <x:c r="G32" s="106" t="n"/>
      <x:c r="H32" s="106" t="n"/>
    </x:row>
    <x:row r="33">
      <x:c r="A33" s="9" t="inlineStr">
        <x:is>
          <x:t xml:space="preserve">HTTP 상태</x:t>
        </x:is>
      </x:c>
      <x:c r="B33" s="10" t="inlineStr">
        <x:is>
          <x:t xml:space="preserve">오류 코드</x:t>
        </x:is>
      </x:c>
      <x:c r="C33" s="10" t="inlineStr">
        <x:is>
          <x:t xml:space="preserve">발생 조건</x:t>
        </x:is>
      </x:c>
      <x:c r="D33" s="10" t="inlineStr">
        <x:is>
          <x:t xml:space="preserve">프론트 처리</x:t>
        </x:is>
      </x:c>
      <x:c r="E33" s="11" t="inlineStr">
        <x:is>
          <x:t xml:space="preserve">현재 상태</x:t>
        </x:is>
      </x:c>
    </x:row>
    <x:row r="34">
      <x:c r="A34" s="67" t="inlineStr">
        <x:is>
          <x:t xml:space="preserve">404 Not Found</x:t>
        </x:is>
      </x:c>
      <x:c r="B34" s="46" t="inlineStr">
        <x:is>
          <x:t xml:space="preserve">NOT_FOUND</x:t>
        </x:is>
      </x:c>
      <x:c r="C34" s="46" t="inlineStr">
        <x:is>
          <x:t xml:space="preserve">대상이 없거나 접근 권한이 없음</x:t>
        </x:is>
      </x:c>
      <x:c r="D34" s="46" t="inlineStr">
        <x:is>
          <x:t xml:space="preserve">목록으로 이동하거나 삭제 상태 반영</x:t>
        </x:is>
      </x:c>
      <x:c r="E34" s="68" t="inlineStr">
        <x:is>
          <x:t xml:space="preserve">현재 구현</x:t>
        </x:is>
      </x:c>
    </x:row>
    <x:row r="35">
      <x:c r="A35" s="69" t="inlineStr">
        <x:is>
          <x:t xml:space="preserve">401 Unauthorized</x:t>
        </x:is>
      </x:c>
      <x:c r="B35" s="47" t="inlineStr">
        <x:is>
          <x:t xml:space="preserve">UNAUTHORIZED</x:t>
        </x:is>
      </x:c>
      <x:c r="C35" s="47" t="inlineStr">
        <x:is>
          <x:t xml:space="preserve">인증 쿠키가 없거나 유효하지 않음</x:t>
        </x:is>
      </x:c>
      <x:c r="D35" s="47" t="inlineStr">
        <x:is>
          <x:t xml:space="preserve">로그인 화면으로 이동</x:t>
        </x:is>
      </x:c>
      <x:c r="E35" s="70" t="inlineStr">
        <x:is>
          <x:t xml:space="preserve">계약 정의·인증 미구현</x:t>
        </x:is>
      </x:c>
    </x:row>
    <x:row r="36">
      <x:c r="A36" s="71" t="inlineStr">
        <x:is>
          <x:t xml:space="preserve">500 Internal Server Error</x:t>
        </x:is>
      </x:c>
      <x:c r="B36" s="48" t="inlineStr">
        <x:is>
          <x:t xml:space="preserve">INTERNAL_ERROR</x:t>
        </x:is>
      </x:c>
      <x:c r="C36" s="48" t="inlineStr">
        <x:is>
          <x:t xml:space="preserve">예상하지 못한 서버 오류</x:t>
        </x:is>
      </x:c>
      <x:c r="D36" s="48" t="inlineStr">
        <x:is>
          <x:t xml:space="preserve">재시도 안내 후 지속 시 오류 정보 전달</x:t>
        </x:is>
      </x:c>
      <x:c r="E36" s="72" t="inlineStr">
        <x:is>
          <x:t xml:space="preserve">현재 구현</x:t>
        </x:is>
      </x:c>
    </x:row>
  </x:sheetData>
  <x:mergeCells>
    <x:mergeCell ref="A4:H4"/>
    <x:mergeCell ref="A15:H15"/>
    <x:mergeCell ref="A10:H10"/>
    <x:mergeCell ref="B2:H2"/>
    <x:mergeCell ref="A11:H11"/>
    <x:mergeCell ref="A13:H13"/>
    <x:mergeCell ref="A14:H14"/>
    <x:mergeCell ref="A1:H1"/>
    <x:mergeCell ref="A32:H32"/>
    <x:mergeCell ref="A22:H22"/>
    <x:mergeCell ref="A17:H17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8ffa4a301c274a99"/>
    <x:tablePart xmlns:r="http://schemas.openxmlformats.org/officeDocument/2006/relationships" r:id="Radaa916abda74009"/>
    <x:tablePart xmlns:r="http://schemas.openxmlformats.org/officeDocument/2006/relationships" r:id="R9e1623394a304ddc"/>
  </x:tableParts>
</x:worksheet>
</file>

<file path=xl/worksheets/sheet28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API-027  ·  최신 첨삭 버전 기준 자기소개서 기반 면접 질문과 thread 1개 추가 생성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/interviews/{interviewSessionId}/questions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/interviews/{interviewSessionId}/questions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최신 첨삭 버전 기준 자기소개서 기반 면접 질문과 thread 1개 추가 생성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POST /interviews/is_01HZ.../questions HTTP/1.1
Accept: application/json
Cookie: access_token=&lt;access_token&gt;
X-CSRF-Token: &lt;csrf-token&gt;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140" customHeight="1">
      <x:c r="A14" s="115" t="inlineStr">
        <x:is>
          <x:t xml:space="preserve">HTTP/1.1 200 OK
Content-Type: application/json
{
  "interviewSessionId": "is_01HZ...",
  "jobId": "job_01HZ...",
  "status": "ACTIVE",
  "jobStatus": "PENDING"
}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interviewSessionId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면접 세션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71" t="inlineStr">
        <x:is>
          <x:t xml:space="preserve">header</x:t>
        </x:is>
      </x:c>
      <x:c r="B20" s="48" t="inlineStr">
        <x:is>
          <x:t xml:space="preserve">X-CSRF-Token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상태 변경 요청용 CSRF 토큰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67" t="inlineStr">
        <x:is>
          <x:t xml:space="preserve">interviewSessionId</x:t>
        </x:is>
      </x:c>
      <x:c r="B24" s="46" t="inlineStr">
        <x:is>
          <x:t xml:space="preserve">string</x:t>
        </x:is>
      </x:c>
      <x:c r="C24" s="46" t="inlineStr">
        <x:is>
          <x:t xml:space="preserve">필수</x:t>
        </x:is>
      </x:c>
      <x:c r="D24" s="68" t="inlineStr">
        <x:is>
          <x:t xml:space="preserve">면접 세션 ID</x:t>
        </x:is>
      </x:c>
    </x:row>
    <x:row r="25">
      <x:c r="A25" s="69" t="inlineStr">
        <x:is>
          <x:t xml:space="preserve">jobId</x:t>
        </x:is>
      </x:c>
      <x:c r="B25" s="47" t="inlineStr">
        <x:is>
          <x:t xml:space="preserve">string</x:t>
        </x:is>
      </x:c>
      <x:c r="C25" s="47" t="inlineStr">
        <x:is>
          <x:t xml:space="preserve">필수</x:t>
        </x:is>
      </x:c>
      <x:c r="D25" s="70" t="inlineStr">
        <x:is>
          <x:t xml:space="preserve">LLM Job ID</x:t>
        </x:is>
      </x:c>
    </x:row>
    <x:row r="26">
      <x:c r="A26" s="69" t="inlineStr">
        <x:is>
          <x:t xml:space="preserve">status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현재 처리/리소스 상태; 허용값: ACTIVE</x:t>
        </x:is>
      </x:c>
    </x:row>
    <x:row r="27">
      <x:c r="A27" s="71" t="inlineStr">
        <x:is>
          <x:t xml:space="preserve">jobStatus</x:t>
        </x:is>
      </x:c>
      <x:c r="B27" s="48" t="inlineStr">
        <x:is>
          <x:t xml:space="preserve">string</x:t>
        </x:is>
      </x:c>
      <x:c r="C27" s="48" t="inlineStr">
        <x:is>
          <x:t xml:space="preserve">필수</x:t>
        </x:is>
      </x:c>
      <x:c r="D27" s="72" t="inlineStr">
        <x:is>
          <x:t xml:space="preserve">LLM Job 상태; 허용값: PENDING</x:t>
        </x:is>
      </x:c>
    </x:row>
    <x:row r="29" ht="24" customHeight="1">
      <x:c r="A29" s="113" t="inlineStr">
        <x:is>
          <x:t xml:space="preserve">오류 응답</x:t>
        </x:is>
      </x:c>
      <x:c r="B29" s="106" t="n"/>
      <x:c r="C29" s="106" t="n"/>
      <x:c r="D29" s="106" t="n"/>
      <x:c r="E29" s="106" t="n"/>
      <x:c r="F29" s="106" t="n"/>
      <x:c r="G29" s="106" t="n"/>
      <x:c r="H29" s="106" t="n"/>
    </x:row>
    <x:row r="30">
      <x:c r="A30" s="9" t="inlineStr">
        <x:is>
          <x:t xml:space="preserve">HTTP 상태</x:t>
        </x:is>
      </x:c>
      <x:c r="B30" s="10" t="inlineStr">
        <x:is>
          <x:t xml:space="preserve">오류 코드</x:t>
        </x:is>
      </x:c>
      <x:c r="C30" s="10" t="inlineStr">
        <x:is>
          <x:t xml:space="preserve">발생 조건</x:t>
        </x:is>
      </x:c>
      <x:c r="D30" s="10" t="inlineStr">
        <x:is>
          <x:t xml:space="preserve">프론트 처리</x:t>
        </x:is>
      </x:c>
      <x:c r="E30" s="11" t="inlineStr">
        <x:is>
          <x:t xml:space="preserve">현재 상태</x:t>
        </x:is>
      </x:c>
    </x:row>
    <x:row r="31">
      <x:c r="A31" s="67" t="inlineStr">
        <x:is>
          <x:t xml:space="preserve">404 Not Found</x:t>
        </x:is>
      </x:c>
      <x:c r="B31" s="46" t="inlineStr">
        <x:is>
          <x:t xml:space="preserve">NOT_FOUND</x:t>
        </x:is>
      </x:c>
      <x:c r="C31" s="46" t="inlineStr">
        <x:is>
          <x:t xml:space="preserve">대상이 없거나 접근 권한이 없음</x:t>
        </x:is>
      </x:c>
      <x:c r="D31" s="46" t="inlineStr">
        <x:is>
          <x:t xml:space="preserve">목록으로 이동하거나 삭제 상태 반영</x:t>
        </x:is>
      </x:c>
      <x:c r="E31" s="68" t="inlineStr">
        <x:is>
          <x:t xml:space="preserve">현재 구현</x:t>
        </x:is>
      </x:c>
    </x:row>
    <x:row r="32">
      <x:c r="A32" s="69" t="inlineStr">
        <x:is>
          <x:t xml:space="preserve">409 Conflict</x:t>
        </x:is>
      </x:c>
      <x:c r="B32" s="47" t="inlineStr">
        <x:is>
          <x:t xml:space="preserve">CONFLICT</x:t>
        </x:is>
      </x:c>
      <x:c r="C32" s="47" t="inlineStr">
        <x:is>
          <x:t xml:space="preserve">현재 리소스 상태에서 요청을 처리할 수 없음</x:t>
        </x:is>
      </x:c>
      <x:c r="D32" s="47" t="inlineStr">
        <x:is>
          <x:t xml:space="preserve">새로 조회한 뒤 가능한 동작만 제공</x:t>
        </x:is>
      </x:c>
      <x:c r="E32" s="70" t="inlineStr">
        <x:is>
          <x:t xml:space="preserve">현재 구현</x:t>
        </x:is>
      </x:c>
    </x:row>
    <x:row r="33">
      <x:c r="A33" s="69" t="inlineStr">
        <x:is>
          <x:t xml:space="preserve">409 Conflict</x:t>
        </x:is>
      </x:c>
      <x:c r="B33" s="47" t="inlineStr">
        <x:is>
          <x:t xml:space="preserve">LLM_JOB_ALREADY_RUNNING</x:t>
        </x:is>
      </x:c>
      <x:c r="C33" s="47" t="inlineStr">
        <x:is>
          <x:t xml:space="preserve">동일 자기소개서에 진행 중인 LLM 작업이 있음</x:t>
        </x:is>
      </x:c>
      <x:c r="D33" s="47" t="inlineStr">
        <x:is>
          <x:t xml:space="preserve">기존 Job 상태 조회 화면으로 이동</x:t>
        </x:is>
      </x:c>
      <x:c r="E33" s="70" t="inlineStr">
        <x:is>
          <x:t xml:space="preserve">현재 구현</x:t>
        </x:is>
      </x:c>
    </x:row>
    <x:row r="34">
      <x:c r="A34" s="69" t="inlineStr">
        <x:is>
          <x:t xml:space="preserve">401 Unauthorized</x:t>
        </x:is>
      </x:c>
      <x:c r="B34" s="47" t="inlineStr">
        <x:is>
          <x:t xml:space="preserve">UNAUTHORIZED</x:t>
        </x:is>
      </x:c>
      <x:c r="C34" s="47" t="inlineStr">
        <x:is>
          <x:t xml:space="preserve">인증 쿠키가 없거나 유효하지 않음</x:t>
        </x:is>
      </x:c>
      <x:c r="D34" s="47" t="inlineStr">
        <x:is>
          <x:t xml:space="preserve">로그인 화면으로 이동</x:t>
        </x:is>
      </x:c>
      <x:c r="E34" s="70" t="inlineStr">
        <x:is>
          <x:t xml:space="preserve">계약 정의·인증 미구현</x:t>
        </x:is>
      </x:c>
    </x:row>
    <x:row r="35">
      <x:c r="A35" s="69" t="inlineStr">
        <x:is>
          <x:t xml:space="preserve">403 Forbidden</x:t>
        </x:is>
      </x:c>
      <x:c r="B35" s="47" t="inlineStr">
        <x:is>
          <x:t xml:space="preserve">CSRF_INVALID</x:t>
        </x:is>
      </x:c>
      <x:c r="C35" s="47" t="inlineStr">
        <x:is>
          <x:t xml:space="preserve">CSRF 토큰이 없거나 일치하지 않음</x:t>
        </x:is>
      </x:c>
      <x:c r="D35" s="47" t="inlineStr">
        <x:is>
          <x:t xml:space="preserve">토큰 갱신 후 1회 재시도</x:t>
        </x:is>
      </x:c>
      <x:c r="E35" s="70" t="inlineStr">
        <x:is>
          <x:t xml:space="preserve">계약 정의·CSRF 미구현</x:t>
        </x:is>
      </x:c>
    </x:row>
    <x:row r="36">
      <x:c r="A36" s="71" t="inlineStr">
        <x:is>
          <x:t xml:space="preserve">500 Internal Server Error</x:t>
        </x:is>
      </x:c>
      <x:c r="B36" s="48" t="inlineStr">
        <x:is>
          <x:t xml:space="preserve">INTERNAL_ERROR</x:t>
        </x:is>
      </x:c>
      <x:c r="C36" s="48" t="inlineStr">
        <x:is>
          <x:t xml:space="preserve">예상하지 못한 서버 오류</x:t>
        </x:is>
      </x:c>
      <x:c r="D36" s="48" t="inlineStr">
        <x:is>
          <x:t xml:space="preserve">재시도 안내 후 지속 시 오류 정보 전달</x:t>
        </x:is>
      </x:c>
      <x:c r="E36" s="72" t="inlineStr">
        <x:is>
          <x:t xml:space="preserve">현재 구현</x:t>
        </x:is>
      </x:c>
    </x:row>
  </x:sheetData>
  <x:mergeCells>
    <x:mergeCell ref="A4:H4"/>
    <x:mergeCell ref="A29:H29"/>
    <x:mergeCell ref="A16:H16"/>
    <x:mergeCell ref="A10:H10"/>
    <x:mergeCell ref="B2:H2"/>
    <x:mergeCell ref="A11:H11"/>
    <x:mergeCell ref="A13:H13"/>
    <x:mergeCell ref="A14:H14"/>
    <x:mergeCell ref="A1:H1"/>
    <x:mergeCell ref="A22:H22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53e28f3ca29447f3"/>
    <x:tablePart xmlns:r="http://schemas.openxmlformats.org/officeDocument/2006/relationships" r:id="Rfd3e9e751a80451a"/>
    <x:tablePart xmlns:r="http://schemas.openxmlformats.org/officeDocument/2006/relationships" r:id="R22ee03871cba4c87"/>
  </x:tableParts>
</x:worksheet>
</file>

<file path=xl/worksheets/sheet29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API-028  ·  질문 생성 시 thread를 함께 저장하므로 사용하지 않음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POST /interviews/{interviewSessionId}/threads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POST</x:t>
        </x:is>
      </x:c>
      <x:c r="C5" s="82" t="inlineStr">
        <x:is>
          <x:t xml:space="preserve">Path</x:t>
        </x:is>
      </x:c>
      <x:c r="D5" s="46" t="inlineStr">
        <x:is>
          <x:t xml:space="preserve">/interviews/{interviewSessionId}/threads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폐기·호출 금지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질문 생성 시 thread를 함께 저장하므로 사용하지 않음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X-CSRF-Token 필요 (미구현)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POST /interviews/is_01HZ.../threads HTTP/1.1
Accept: application/json
Cookie: access_token=&lt;access_token&gt;
X-CSRF-Token: &lt;csrf-token&gt;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56" customHeight="1">
      <x:c r="A14" s="115" t="inlineStr">
        <x:is>
          <x:t xml:space="preserve">HTTP/1.1 200 OK
Deprecated: 별도 API를 호출하지 않습니다.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6" ht="24" customHeight="1">
      <x:c r="A16" s="113" t="inlineStr">
        <x:is>
          <x:t xml:space="preserve">요청 필드 설명</x:t>
        </x:is>
      </x:c>
      <x:c r="B16" s="106" t="n"/>
      <x:c r="C16" s="106" t="n"/>
      <x:c r="D16" s="106" t="n"/>
      <x:c r="E16" s="106" t="n"/>
      <x:c r="F16" s="106" t="n"/>
      <x:c r="G16" s="106" t="n"/>
      <x:c r="H16" s="106" t="n"/>
    </x:row>
    <x:row r="17">
      <x:c r="A17" s="9" t="inlineStr">
        <x:is>
          <x:t xml:space="preserve">위치</x:t>
        </x:is>
      </x:c>
      <x:c r="B17" s="10" t="inlineStr">
        <x:is>
          <x:t xml:space="preserve">필드 경로</x:t>
        </x:is>
      </x:c>
      <x:c r="C17" s="10" t="inlineStr">
        <x:is>
          <x:t xml:space="preserve">타입</x:t>
        </x:is>
      </x:c>
      <x:c r="D17" s="10" t="inlineStr">
        <x:is>
          <x:t xml:space="preserve">필수 여부</x:t>
        </x:is>
      </x:c>
      <x:c r="E17" s="11" t="inlineStr">
        <x:is>
          <x:t xml:space="preserve">의미·제약</x:t>
        </x:is>
      </x:c>
    </x:row>
    <x:row r="18">
      <x:c r="A18" s="67" t="inlineStr">
        <x:is>
          <x:t xml:space="preserve">path</x:t>
        </x:is>
      </x:c>
      <x:c r="B18" s="46" t="inlineStr">
        <x:is>
          <x:t xml:space="preserve">interviewSessionId</x:t>
        </x:is>
      </x:c>
      <x:c r="C18" s="46" t="inlineStr">
        <x:is>
          <x:t xml:space="preserve">string</x:t>
        </x:is>
      </x:c>
      <x:c r="D18" s="46" t="inlineStr">
        <x:is>
          <x:t xml:space="preserve">필수</x:t>
        </x:is>
      </x:c>
      <x:c r="E18" s="68" t="inlineStr">
        <x:is>
          <x:t xml:space="preserve">면접 세션 ID</x:t>
        </x:is>
      </x:c>
    </x:row>
    <x:row r="19">
      <x:c r="A19" s="69" t="inlineStr">
        <x:is>
          <x:t xml:space="preserve">cookie</x:t>
        </x:is>
      </x:c>
      <x:c r="B19" s="47" t="inlineStr">
        <x:is>
          <x:t xml:space="preserve">access_token</x:t>
        </x:is>
      </x:c>
      <x:c r="C19" s="47" t="inlineStr">
        <x:is>
          <x:t xml:space="preserve">string</x:t>
        </x:is>
      </x:c>
      <x:c r="D19" s="47" t="inlineStr">
        <x:is>
          <x:t xml:space="preserve">계약상 필수 (현재 미검증)</x:t>
        </x:is>
      </x:c>
      <x:c r="E19" s="70" t="inlineStr">
        <x:is>
          <x:t xml:space="preserve">현재 사용자 인증 cookie</x:t>
        </x:is>
      </x:c>
    </x:row>
    <x:row r="20">
      <x:c r="A20" s="71" t="inlineStr">
        <x:is>
          <x:t xml:space="preserve">header</x:t>
        </x:is>
      </x:c>
      <x:c r="B20" s="48" t="inlineStr">
        <x:is>
          <x:t xml:space="preserve">X-CSRF-Token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상태 변경 요청용 CSRF 토큰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102" t="inlineStr">
        <x:is>
          <x:t xml:space="preserve">-</x:t>
        </x:is>
      </x:c>
      <x:c r="B24" s="103" t="inlineStr">
        <x:is>
          <x:t xml:space="preserve">-</x:t>
        </x:is>
      </x:c>
      <x:c r="C24" s="103" t="inlineStr">
        <x:is>
          <x:t xml:space="preserve">-</x:t>
        </x:is>
      </x:c>
      <x:c r="D24" s="104" t="inlineStr">
        <x:is>
          <x:t xml:space="preserve">Deprecated API; 호출하지 않음</x:t>
        </x:is>
      </x:c>
    </x:row>
    <x:row r="26" ht="24" customHeight="1">
      <x:c r="A26" s="113" t="inlineStr">
        <x:is>
          <x:t xml:space="preserve">오류 응답</x:t>
        </x:is>
      </x:c>
      <x:c r="B26" s="106" t="n"/>
      <x:c r="C26" s="106" t="n"/>
      <x:c r="D26" s="106" t="n"/>
      <x:c r="E26" s="106" t="n"/>
      <x:c r="F26" s="106" t="n"/>
      <x:c r="G26" s="106" t="n"/>
      <x:c r="H26" s="106" t="n"/>
    </x:row>
    <x:row r="27">
      <x:c r="A27" s="9" t="inlineStr">
        <x:is>
          <x:t xml:space="preserve">HTTP 상태</x:t>
        </x:is>
      </x:c>
      <x:c r="B27" s="10" t="inlineStr">
        <x:is>
          <x:t xml:space="preserve">오류 코드</x:t>
        </x:is>
      </x:c>
      <x:c r="C27" s="10" t="inlineStr">
        <x:is>
          <x:t xml:space="preserve">발생 조건</x:t>
        </x:is>
      </x:c>
      <x:c r="D27" s="10" t="inlineStr">
        <x:is>
          <x:t xml:space="preserve">프론트 처리</x:t>
        </x:is>
      </x:c>
      <x:c r="E27" s="11" t="inlineStr">
        <x:is>
          <x:t xml:space="preserve">현재 상태</x:t>
        </x:is>
      </x:c>
    </x:row>
    <x:row r="28">
      <x:c r="A28" s="67" t="inlineStr">
        <x:is>
          <x:t xml:space="preserve">401 Unauthorized</x:t>
        </x:is>
      </x:c>
      <x:c r="B28" s="46" t="inlineStr">
        <x:is>
          <x:t xml:space="preserve">UNAUTHORIZED</x:t>
        </x:is>
      </x:c>
      <x:c r="C28" s="46" t="inlineStr">
        <x:is>
          <x:t xml:space="preserve">인증 쿠키가 없거나 유효하지 않음</x:t>
        </x:is>
      </x:c>
      <x:c r="D28" s="46" t="inlineStr">
        <x:is>
          <x:t xml:space="preserve">로그인 화면으로 이동</x:t>
        </x:is>
      </x:c>
      <x:c r="E28" s="68" t="inlineStr">
        <x:is>
          <x:t xml:space="preserve">계약 정의·인증 미구현</x:t>
        </x:is>
      </x:c>
    </x:row>
    <x:row r="29">
      <x:c r="A29" s="69" t="inlineStr">
        <x:is>
          <x:t xml:space="preserve">403 Forbidden</x:t>
        </x:is>
      </x:c>
      <x:c r="B29" s="47" t="inlineStr">
        <x:is>
          <x:t xml:space="preserve">CSRF_INVALID</x:t>
        </x:is>
      </x:c>
      <x:c r="C29" s="47" t="inlineStr">
        <x:is>
          <x:t xml:space="preserve">CSRF 토큰이 없거나 일치하지 않음</x:t>
        </x:is>
      </x:c>
      <x:c r="D29" s="47" t="inlineStr">
        <x:is>
          <x:t xml:space="preserve">토큰 갱신 후 1회 재시도</x:t>
        </x:is>
      </x:c>
      <x:c r="E29" s="70" t="inlineStr">
        <x:is>
          <x:t xml:space="preserve">계약 정의·CSRF 미구현</x:t>
        </x:is>
      </x:c>
    </x:row>
    <x:row r="30">
      <x:c r="A30" s="69" t="inlineStr">
        <x:is>
          <x:t xml:space="preserve">404 Not Found</x:t>
        </x:is>
      </x:c>
      <x:c r="B30" s="47" t="inlineStr">
        <x:is>
          <x:t xml:space="preserve">NOT_FOUND</x:t>
        </x:is>
      </x:c>
      <x:c r="C30" s="47" t="inlineStr">
        <x:is>
          <x:t xml:space="preserve">대상이 없거나 접근 권한이 없음</x:t>
        </x:is>
      </x:c>
      <x:c r="D30" s="47" t="inlineStr">
        <x:is>
          <x:t xml:space="preserve">목록으로 이동하거나 삭제 상태 반영</x:t>
        </x:is>
      </x:c>
      <x:c r="E30" s="70" t="inlineStr">
        <x:is>
          <x:t xml:space="preserve">현재 구현</x:t>
        </x:is>
      </x:c>
    </x:row>
    <x:row r="31">
      <x:c r="A31" s="71" t="inlineStr">
        <x:is>
          <x:t xml:space="preserve">500 Internal Server Error</x:t>
        </x:is>
      </x:c>
      <x:c r="B31" s="48" t="inlineStr">
        <x:is>
          <x:t xml:space="preserve">INTERNAL_ERROR</x:t>
        </x:is>
      </x:c>
      <x:c r="C31" s="48" t="inlineStr">
        <x:is>
          <x:t xml:space="preserve">예상하지 못한 서버 오류</x:t>
        </x:is>
      </x:c>
      <x:c r="D31" s="48" t="inlineStr">
        <x:is>
          <x:t xml:space="preserve">재시도 안내 후 지속 시 오류 정보 전달</x:t>
        </x:is>
      </x:c>
      <x:c r="E31" s="72" t="inlineStr">
        <x:is>
          <x:t xml:space="preserve">현재 구현</x:t>
        </x:is>
      </x:c>
    </x:row>
  </x:sheetData>
  <x:mergeCells>
    <x:mergeCell ref="A4:H4"/>
    <x:mergeCell ref="A26:H26"/>
    <x:mergeCell ref="A16:H16"/>
    <x:mergeCell ref="A10:H10"/>
    <x:mergeCell ref="B2:H2"/>
    <x:mergeCell ref="A11:H11"/>
    <x:mergeCell ref="A13:H13"/>
    <x:mergeCell ref="A14:H14"/>
    <x:mergeCell ref="A1:H1"/>
    <x:mergeCell ref="A22:H22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cc05975712f64302"/>
    <x:tablePart xmlns:r="http://schemas.openxmlformats.org/officeDocument/2006/relationships" r:id="Racf81fa7427b44b5"/>
    <x:tablePart xmlns:r="http://schemas.openxmlformats.org/officeDocument/2006/relationships" r:id="R4706477383b34a36"/>
  </x:tableParts>
</x:worksheet>
</file>

<file path=xl/worksheets/sheet30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0" customWidth="1"/>
    <x:col min="4" max="4" width="42" customWidth="1"/>
    <x:col min="5" max="5" width="18" customWidth="1"/>
    <x:col min="6" max="6" width="30" customWidth="1"/>
    <x:col min="7" max="7" width="18" customWidth="1"/>
    <x:col min="8" max="8" width="30" customWidth="1"/>
  </x:cols>
  <x:sheetData>
    <x:row r="1" ht="36" customHeight="1">
      <x:c r="A1" s="111" t="inlineStr">
        <x:is>
          <x:t xml:space="preserve">API-029  ·  대화 메시지 조회</x:t>
        </x:is>
      </x:c>
      <x:c r="B1" s="106" t="n"/>
      <x:c r="C1" s="106" t="n"/>
      <x:c r="D1" s="106" t="n"/>
      <x:c r="E1" s="106" t="n"/>
      <x:c r="F1" s="106" t="n"/>
      <x:c r="G1" s="106" t="n"/>
      <x:c r="H1" s="106" t="n"/>
    </x:row>
    <x:row r="2">
      <x:c r="A2" s="51" t="str">
        <x:f>IFERROR(HYPERLINK("#'API 목차'!A1","← API 목차로 돌아가기"),"← API 목차로 돌아가기")</x:f>
        <x:v>← API 목차로 돌아가기</x:v>
      </x:c>
      <x:c r="B2" s="112" t="inlineStr">
        <x:is>
          <x:t xml:space="preserve">GET /interview-threads/{threadId}/messages</x:t>
        </x:is>
      </x:c>
      <x:c r="C2" s="106" t="n"/>
      <x:c r="D2" s="106" t="n"/>
      <x:c r="E2" s="106" t="n"/>
      <x:c r="F2" s="106" t="n"/>
      <x:c r="G2" s="106" t="n"/>
      <x:c r="H2" s="106" t="n"/>
    </x:row>
    <x:row r="4" ht="24" customHeight="1">
      <x:c r="A4" s="113" t="inlineStr">
        <x:is>
          <x:t xml:space="preserve">API 개요</x:t>
        </x:is>
      </x:c>
      <x:c r="B4" s="106" t="n"/>
      <x:c r="C4" s="106" t="n"/>
      <x:c r="D4" s="106" t="n"/>
      <x:c r="E4" s="106" t="n"/>
      <x:c r="F4" s="106" t="n"/>
      <x:c r="G4" s="106" t="n"/>
      <x:c r="H4" s="106" t="n"/>
    </x:row>
    <x:row r="5">
      <x:c r="A5" s="76" t="inlineStr">
        <x:is>
          <x:t xml:space="preserve">Method</x:t>
        </x:is>
      </x:c>
      <x:c r="B5" s="46" t="inlineStr">
        <x:is>
          <x:t xml:space="preserve">GET</x:t>
        </x:is>
      </x:c>
      <x:c r="C5" s="82" t="inlineStr">
        <x:is>
          <x:t xml:space="preserve">Path</x:t>
        </x:is>
      </x:c>
      <x:c r="D5" s="46" t="inlineStr">
        <x:is>
          <x:t xml:space="preserve">/interview-threads/{threadId}/messages</x:t>
        </x:is>
      </x:c>
      <x:c r="E5" s="82" t="inlineStr">
        <x:is>
          <x:t xml:space="preserve">성공 상태</x:t>
        </x:is>
      </x:c>
      <x:c r="F5" s="46" t="inlineStr">
        <x:is>
          <x:t xml:space="preserve">200 OK</x:t>
        </x:is>
      </x:c>
      <x:c r="G5" s="82" t="inlineStr">
        <x:is>
          <x:t xml:space="preserve">가용 상태</x:t>
        </x:is>
      </x:c>
      <x:c r="H5" s="68" t="inlineStr">
        <x:is>
          <x:t xml:space="preserve">사용 가능</x:t>
        </x:is>
      </x:c>
    </x:row>
    <x:row r="6">
      <x:c r="A6" s="77" t="inlineStr">
        <x:is>
          <x:t xml:space="preserve">기능</x:t>
        </x:is>
      </x:c>
      <x:c r="B6" s="47" t="inlineStr">
        <x:is>
          <x:t xml:space="preserve">대화 메시지 조회</x:t>
        </x:is>
      </x:c>
      <x:c r="C6" s="83" t="n"/>
      <x:c r="D6" s="47" t="n"/>
      <x:c r="E6" s="83" t="inlineStr">
        <x:is>
          <x:t xml:space="preserve">인증</x:t>
        </x:is>
      </x:c>
      <x:c r="F6" s="47" t="inlineStr">
        <x:is>
          <x:t xml:space="preserve">access_token 쿠키 필요 (인증 미구현)</x:t>
        </x:is>
      </x:c>
      <x:c r="G6" s="83" t="inlineStr">
        <x:is>
          <x:t xml:space="preserve">CSRF</x:t>
        </x:is>
      </x:c>
      <x:c r="H6" s="70" t="inlineStr">
        <x:is>
          <x:t xml:space="preserve">불필요</x:t>
        </x:is>
      </x:c>
    </x:row>
    <x:row r="7">
      <x:c r="A7" s="77" t="inlineStr">
        <x:is>
          <x:t xml:space="preserve">FE 호출</x:t>
        </x:is>
      </x:c>
      <x:c r="B7" s="47" t="inlineStr">
        <x:is>
          <x:t xml:space="preserve">fetch/axios에서 credentials 포함</x:t>
        </x:is>
      </x:c>
      <x:c r="C7" s="83" t="n"/>
      <x:c r="D7" s="47" t="n"/>
      <x:c r="E7" s="83" t="n"/>
      <x:c r="F7" s="47" t="n"/>
      <x:c r="G7" s="83" t="n"/>
      <x:c r="H7" s="70" t="n"/>
    </x:row>
    <x:row r="8">
      <x:c r="A8" s="78" t="inlineStr">
        <x:is>
          <x:t xml:space="preserve">최근 변경</x:t>
        </x:is>
      </x:c>
      <x:c r="B8" s="114" t="n">
        <x:v>46218.92674768518</x:v>
      </x:c>
      <x:c r="C8" s="84" t="n"/>
      <x:c r="D8" s="48" t="n"/>
      <x:c r="E8" s="84" t="n"/>
      <x:c r="F8" s="48" t="n"/>
      <x:c r="G8" s="84" t="n"/>
      <x:c r="H8" s="72" t="n"/>
    </x:row>
    <x:row r="10" ht="24" customHeight="1">
      <x:c r="A10" s="113" t="inlineStr">
        <x:is>
          <x:t xml:space="preserve">실제 요청 형식 (HTTP Request)</x:t>
        </x:is>
      </x:c>
      <x:c r="B10" s="106" t="n"/>
      <x:c r="C10" s="106" t="n"/>
      <x:c r="D10" s="106" t="n"/>
      <x:c r="E10" s="106" t="n"/>
      <x:c r="F10" s="106" t="n"/>
      <x:c r="G10" s="106" t="n"/>
      <x:c r="H10" s="106" t="n"/>
    </x:row>
    <x:row r="11" ht="70" customHeight="1">
      <x:c r="A11" s="115" t="inlineStr">
        <x:is>
          <x:t xml:space="preserve">GET /interview-threads/it_01HZ.../messages HTTP/1.1
Accept: application/json
Cookie: access_token=&lt;access_token&gt;</x:t>
        </x:is>
      </x:c>
      <x:c r="B11" s="116" t="n"/>
      <x:c r="C11" s="116" t="n"/>
      <x:c r="D11" s="116" t="n"/>
      <x:c r="E11" s="116" t="n"/>
      <x:c r="F11" s="116" t="n"/>
      <x:c r="G11" s="116" t="n"/>
      <x:c r="H11" s="117" t="n"/>
    </x:row>
    <x:row r="13" ht="24" customHeight="1">
      <x:c r="A13" s="113" t="inlineStr">
        <x:is>
          <x:t xml:space="preserve">실제 성공 응답 형식 (HTTP Response)</x:t>
        </x:is>
      </x:c>
      <x:c r="B13" s="106" t="n"/>
      <x:c r="C13" s="106" t="n"/>
      <x:c r="D13" s="106" t="n"/>
      <x:c r="E13" s="106" t="n"/>
      <x:c r="F13" s="106" t="n"/>
      <x:c r="G13" s="106" t="n"/>
      <x:c r="H13" s="106" t="n"/>
    </x:row>
    <x:row r="14" ht="364" customHeight="1">
      <x:c r="A14" s="115" t="inlineStr">
        <x:is>
          <x:t xml:space="preserve">HTTP/1.1 200 OK
Content-Type: application/json
{
  "threadId": "it_01HZ...",
  "items": [
    {
      "id": "im_01HY...",
      "role": "USER",
      "content": "저는 프로젝트에서 API 설계를 담당했습니다.",
      "feedback": null,
      "score": null,
      "followUpQuestion": null,
      "createdAt": "2026-06-20T16:06:00"
    },
    {
      "id": "im_01HZ2...",
      "role": "ASSISTANT",
      "content": "답변에서 API 설계 경험은 드러났지만 성과와 의사결정 근거가 부족합니다. 이어서, 그 API 설계에서 가장 중요하게 고려한 트레이드오프는 무엇이었나요?",
      "feedback": {
        "summary": "역할은 명확하지만 성과와 판단 근거가 부족합니다.",
        "strengths": [
          "담당 역할을 구체적으로 언급했습니다."
        ],</x:t>
        </x:is>
      </x:c>
      <x:c r="B14" s="116" t="n"/>
      <x:c r="C14" s="116" t="n"/>
      <x:c r="D14" s="116" t="n"/>
      <x:c r="E14" s="116" t="n"/>
      <x:c r="F14" s="116" t="n"/>
      <x:c r="G14" s="116" t="n"/>
      <x:c r="H14" s="117" t="n"/>
    </x:row>
    <x:row r="15" ht="154" customHeight="1">
      <x:c r="A15" s="115" t="inlineStr">
        <x:is>
          <x:t xml:space="preserve">        "improvements": [
          "성과 지표와 문제 해결 과정을 보강하세요."
        ]
      },
      "score": 78,
      "followUpQuestion": "그 API 설계에서 가장 중요하게 고려한 트레이드오프는 무엇이었나요?",
      "createdAt": "2026-06-20T16:06:00"
    }
  ]
}</x:t>
        </x:is>
      </x:c>
      <x:c r="B15" s="116" t="n"/>
      <x:c r="C15" s="116" t="n"/>
      <x:c r="D15" s="116" t="n"/>
      <x:c r="E15" s="116" t="n"/>
      <x:c r="F15" s="116" t="n"/>
      <x:c r="G15" s="116" t="n"/>
      <x:c r="H15" s="117" t="n"/>
    </x:row>
    <x:row r="17" ht="24" customHeight="1">
      <x:c r="A17" s="113" t="inlineStr">
        <x:is>
          <x:t xml:space="preserve">요청 필드 설명</x:t>
        </x:is>
      </x:c>
      <x:c r="B17" s="106" t="n"/>
      <x:c r="C17" s="106" t="n"/>
      <x:c r="D17" s="106" t="n"/>
      <x:c r="E17" s="106" t="n"/>
      <x:c r="F17" s="106" t="n"/>
      <x:c r="G17" s="106" t="n"/>
      <x:c r="H17" s="106" t="n"/>
    </x:row>
    <x:row r="18">
      <x:c r="A18" s="9" t="inlineStr">
        <x:is>
          <x:t xml:space="preserve">위치</x:t>
        </x:is>
      </x:c>
      <x:c r="B18" s="10" t="inlineStr">
        <x:is>
          <x:t xml:space="preserve">필드 경로</x:t>
        </x:is>
      </x:c>
      <x:c r="C18" s="10" t="inlineStr">
        <x:is>
          <x:t xml:space="preserve">타입</x:t>
        </x:is>
      </x:c>
      <x:c r="D18" s="10" t="inlineStr">
        <x:is>
          <x:t xml:space="preserve">필수 여부</x:t>
        </x:is>
      </x:c>
      <x:c r="E18" s="11" t="inlineStr">
        <x:is>
          <x:t xml:space="preserve">의미·제약</x:t>
        </x:is>
      </x:c>
    </x:row>
    <x:row r="19">
      <x:c r="A19" s="67" t="inlineStr">
        <x:is>
          <x:t xml:space="preserve">path</x:t>
        </x:is>
      </x:c>
      <x:c r="B19" s="46" t="inlineStr">
        <x:is>
          <x:t xml:space="preserve">threadId</x:t>
        </x:is>
      </x:c>
      <x:c r="C19" s="46" t="inlineStr">
        <x:is>
          <x:t xml:space="preserve">string</x:t>
        </x:is>
      </x:c>
      <x:c r="D19" s="46" t="inlineStr">
        <x:is>
          <x:t xml:space="preserve">필수</x:t>
        </x:is>
      </x:c>
      <x:c r="E19" s="68" t="inlineStr">
        <x:is>
          <x:t xml:space="preserve">면접 질문별 대화방 ID</x:t>
        </x:is>
      </x:c>
    </x:row>
    <x:row r="20">
      <x:c r="A20" s="71" t="inlineStr">
        <x:is>
          <x:t xml:space="preserve">cookie</x:t>
        </x:is>
      </x:c>
      <x:c r="B20" s="48" t="inlineStr">
        <x:is>
          <x:t xml:space="preserve">access_token</x:t>
        </x:is>
      </x:c>
      <x:c r="C20" s="48" t="inlineStr">
        <x:is>
          <x:t xml:space="preserve">string</x:t>
        </x:is>
      </x:c>
      <x:c r="D20" s="48" t="inlineStr">
        <x:is>
          <x:t xml:space="preserve">계약상 필수 (현재 미검증)</x:t>
        </x:is>
      </x:c>
      <x:c r="E20" s="72" t="inlineStr">
        <x:is>
          <x:t xml:space="preserve">현재 사용자 인증 cookie</x:t>
        </x:is>
      </x:c>
    </x:row>
    <x:row r="22" ht="24" customHeight="1">
      <x:c r="A22" s="113" t="inlineStr">
        <x:is>
          <x:t xml:space="preserve">응답 필드 설명</x:t>
        </x:is>
      </x:c>
      <x:c r="B22" s="106" t="n"/>
      <x:c r="C22" s="106" t="n"/>
      <x:c r="D22" s="106" t="n"/>
      <x:c r="E22" s="106" t="n"/>
      <x:c r="F22" s="106" t="n"/>
      <x:c r="G22" s="106" t="n"/>
      <x:c r="H22" s="106" t="n"/>
    </x:row>
    <x:row r="23">
      <x:c r="A23" s="9" t="inlineStr">
        <x:is>
          <x:t xml:space="preserve">필드 경로</x:t>
        </x:is>
      </x:c>
      <x:c r="B23" s="10" t="inlineStr">
        <x:is>
          <x:t xml:space="preserve">타입</x:t>
        </x:is>
      </x:c>
      <x:c r="C23" s="10" t="inlineStr">
        <x:is>
          <x:t xml:space="preserve">필수/nullable</x:t>
        </x:is>
      </x:c>
      <x:c r="D23" s="11" t="inlineStr">
        <x:is>
          <x:t xml:space="preserve">필드 의미</x:t>
        </x:is>
      </x:c>
    </x:row>
    <x:row r="24">
      <x:c r="A24" s="67" t="inlineStr">
        <x:is>
          <x:t xml:space="preserve">threadId</x:t>
        </x:is>
      </x:c>
      <x:c r="B24" s="46" t="inlineStr">
        <x:is>
          <x:t xml:space="preserve">string</x:t>
        </x:is>
      </x:c>
      <x:c r="C24" s="46" t="inlineStr">
        <x:is>
          <x:t xml:space="preserve">필수</x:t>
        </x:is>
      </x:c>
      <x:c r="D24" s="68" t="inlineStr">
        <x:is>
          <x:t xml:space="preserve">면접 대화방 ID</x:t>
        </x:is>
      </x:c>
    </x:row>
    <x:row r="25">
      <x:c r="A25" s="69" t="inlineStr">
        <x:is>
          <x:t xml:space="preserve">items</x:t>
        </x:is>
      </x:c>
      <x:c r="B25" s="47" t="inlineStr">
        <x:is>
          <x:t xml:space="preserve">array</x:t>
        </x:is>
      </x:c>
      <x:c r="C25" s="47" t="inlineStr">
        <x:is>
          <x:t xml:space="preserve">필수</x:t>
        </x:is>
      </x:c>
      <x:c r="D25" s="70" t="inlineStr">
        <x:is>
          <x:t xml:space="preserve">목록 항목 배열</x:t>
        </x:is>
      </x:c>
    </x:row>
    <x:row r="26">
      <x:c r="A26" s="69" t="inlineStr">
        <x:is>
          <x:t xml:space="preserve">items[].id</x:t>
        </x:is>
      </x:c>
      <x:c r="B26" s="47" t="inlineStr">
        <x:is>
          <x:t xml:space="preserve">string</x:t>
        </x:is>
      </x:c>
      <x:c r="C26" s="47" t="inlineStr">
        <x:is>
          <x:t xml:space="preserve">필수</x:t>
        </x:is>
      </x:c>
      <x:c r="D26" s="70" t="inlineStr">
        <x:is>
          <x:t xml:space="preserve">리소스 고유 ID</x:t>
        </x:is>
      </x:c>
    </x:row>
    <x:row r="27">
      <x:c r="A27" s="69" t="inlineStr">
        <x:is>
          <x:t xml:space="preserve">items[].role</x:t>
        </x:is>
      </x:c>
      <x:c r="B27" s="47" t="inlineStr">
        <x:is>
          <x:t xml:space="preserve">string</x:t>
        </x:is>
      </x:c>
      <x:c r="C27" s="47" t="inlineStr">
        <x:is>
          <x:t xml:space="preserve">필수</x:t>
        </x:is>
      </x:c>
      <x:c r="D27" s="70" t="inlineStr">
        <x:is>
          <x:t xml:space="preserve">메시지 작성자 역할; 허용값: USER | ASSISTANT. USER이면 feedback/score/followUpQuestion=null, ASSISTANT이면 모두 필수</x:t>
        </x:is>
      </x:c>
    </x:row>
    <x:row r="28">
      <x:c r="A28" s="69" t="inlineStr">
        <x:is>
          <x:t xml:space="preserve">items[].content</x:t>
        </x:is>
      </x:c>
      <x:c r="B28" s="47" t="inlineStr">
        <x:is>
          <x:t xml:space="preserve">string</x:t>
        </x:is>
      </x:c>
      <x:c r="C28" s="47" t="inlineStr">
        <x:is>
          <x:t xml:space="preserve">필수</x:t>
        </x:is>
      </x:c>
      <x:c r="D28" s="70" t="inlineStr">
        <x:is>
          <x:t xml:space="preserve">면접 대화 메시지 내용</x:t>
        </x:is>
      </x:c>
    </x:row>
    <x:row r="29">
      <x:c r="A29" s="69" t="inlineStr">
        <x:is>
          <x:t xml:space="preserve">items[].feedback</x:t>
        </x:is>
      </x:c>
      <x:c r="B29" s="47" t="inlineStr">
        <x:is>
          <x:t xml:space="preserve">object</x:t>
        </x:is>
      </x:c>
      <x:c r="C29" s="47" t="inlineStr">
        <x:is>
          <x:t xml:space="preserve">ASSISTANT일 때 필수, USER일 때 null</x:t>
        </x:is>
      </x:c>
      <x:c r="D29" s="70" t="inlineStr">
        <x:is>
          <x:t xml:space="preserve">면접 답변에 대한 구조화된 피드백</x:t>
        </x:is>
      </x:c>
    </x:row>
    <x:row r="30">
      <x:c r="A30" s="69" t="inlineStr">
        <x:is>
          <x:t xml:space="preserve">items[].score</x:t>
        </x:is>
      </x:c>
      <x:c r="B30" s="47" t="inlineStr">
        <x:is>
          <x:t xml:space="preserve">integer</x:t>
        </x:is>
      </x:c>
      <x:c r="C30" s="47" t="inlineStr">
        <x:is>
          <x:t xml:space="preserve">ASSISTANT일 때 필수</x:t>
        </x:is>
      </x:c>
      <x:c r="D30" s="70" t="inlineStr">
        <x:is>
          <x:t xml:space="preserve">답변 보조 점수; 1~100</x:t>
        </x:is>
      </x:c>
    </x:row>
    <x:row r="31">
      <x:c r="A31" s="69" t="inlineStr">
        <x:is>
          <x:t xml:space="preserve">items[].followUpQuestion</x:t>
        </x:is>
      </x:c>
      <x:c r="B31" s="47" t="inlineStr">
        <x:is>
          <x:t xml:space="preserve">string</x:t>
        </x:is>
      </x:c>
      <x:c r="C31" s="47" t="inlineStr">
        <x:is>
          <x:t xml:space="preserve">ASSISTANT일 때 필수</x:t>
        </x:is>
      </x:c>
      <x:c r="D31" s="70" t="inlineStr">
        <x:is>
          <x:t xml:space="preserve">후속 면접 질문</x:t>
        </x:is>
      </x:c>
    </x:row>
    <x:row r="32">
      <x:c r="A32" s="69" t="inlineStr">
        <x:is>
          <x:t xml:space="preserve">items[].createdAt</x:t>
        </x:is>
      </x:c>
      <x:c r="B32" s="47" t="inlineStr">
        <x:is>
          <x:t xml:space="preserve">string</x:t>
        </x:is>
      </x:c>
      <x:c r="C32" s="47" t="inlineStr">
        <x:is>
          <x:t xml:space="preserve">필수</x:t>
        </x:is>
      </x:c>
      <x:c r="D32" s="70" t="inlineStr">
        <x:is>
          <x:t xml:space="preserve">생성 일시</x:t>
        </x:is>
      </x:c>
    </x:row>
    <x:row r="33">
      <x:c r="A33" s="69" t="inlineStr">
        <x:is>
          <x:t xml:space="preserve">items[].feedback.summary</x:t>
        </x:is>
      </x:c>
      <x:c r="B33" s="47" t="inlineStr">
        <x:is>
          <x:t xml:space="preserve">string</x:t>
        </x:is>
      </x:c>
      <x:c r="C33" s="47" t="inlineStr">
        <x:is>
          <x:t xml:space="preserve">ASSISTANT일 때 필수</x:t>
        </x:is>
      </x:c>
      <x:c r="D33" s="70" t="inlineStr">
        <x:is>
          <x:t xml:space="preserve">피드백 요약</x:t>
        </x:is>
      </x:c>
    </x:row>
    <x:row r="34">
      <x:c r="A34" s="69" t="inlineStr">
        <x:is>
          <x:t xml:space="preserve">items[].feedback.strengths</x:t>
        </x:is>
      </x:c>
      <x:c r="B34" s="47" t="inlineStr">
        <x:is>
          <x:t xml:space="preserve">array</x:t>
        </x:is>
      </x:c>
      <x:c r="C34" s="47" t="inlineStr">
        <x:is>
          <x:t xml:space="preserve">ASSISTANT일 때 필수</x:t>
        </x:is>
      </x:c>
      <x:c r="D34" s="70" t="inlineStr">
        <x:is>
          <x:t xml:space="preserve">답변의 강점 목록</x:t>
        </x:is>
      </x:c>
    </x:row>
    <x:row r="35">
      <x:c r="A35" s="71" t="inlineStr">
        <x:is>
          <x:t xml:space="preserve">items[].feedback.improvements</x:t>
        </x:is>
      </x:c>
      <x:c r="B35" s="48" t="inlineStr">
        <x:is>
          <x:t xml:space="preserve">array</x:t>
        </x:is>
      </x:c>
      <x:c r="C35" s="48" t="inlineStr">
        <x:is>
          <x:t xml:space="preserve">ASSISTANT일 때 필수</x:t>
        </x:is>
      </x:c>
      <x:c r="D35" s="72" t="inlineStr">
        <x:is>
          <x:t xml:space="preserve">개선할 점 목록</x:t>
        </x:is>
      </x:c>
    </x:row>
    <x:row r="37" ht="24" customHeight="1">
      <x:c r="A37" s="113" t="inlineStr">
        <x:is>
          <x:t xml:space="preserve">오류 응답</x:t>
        </x:is>
      </x:c>
      <x:c r="B37" s="106" t="n"/>
      <x:c r="C37" s="106" t="n"/>
      <x:c r="D37" s="106" t="n"/>
      <x:c r="E37" s="106" t="n"/>
      <x:c r="F37" s="106" t="n"/>
      <x:c r="G37" s="106" t="n"/>
      <x:c r="H37" s="106" t="n"/>
    </x:row>
    <x:row r="38">
      <x:c r="A38" s="9" t="inlineStr">
        <x:is>
          <x:t xml:space="preserve">HTTP 상태</x:t>
        </x:is>
      </x:c>
      <x:c r="B38" s="10" t="inlineStr">
        <x:is>
          <x:t xml:space="preserve">오류 코드</x:t>
        </x:is>
      </x:c>
      <x:c r="C38" s="10" t="inlineStr">
        <x:is>
          <x:t xml:space="preserve">발생 조건</x:t>
        </x:is>
      </x:c>
      <x:c r="D38" s="10" t="inlineStr">
        <x:is>
          <x:t xml:space="preserve">프론트 처리</x:t>
        </x:is>
      </x:c>
      <x:c r="E38" s="11" t="inlineStr">
        <x:is>
          <x:t xml:space="preserve">현재 상태</x:t>
        </x:is>
      </x:c>
    </x:row>
    <x:row r="39">
      <x:c r="A39" s="67" t="inlineStr">
        <x:is>
          <x:t xml:space="preserve">404 Not Found</x:t>
        </x:is>
      </x:c>
      <x:c r="B39" s="46" t="inlineStr">
        <x:is>
          <x:t xml:space="preserve">NOT_FOUND</x:t>
        </x:is>
      </x:c>
      <x:c r="C39" s="46" t="inlineStr">
        <x:is>
          <x:t xml:space="preserve">대상이 없거나 접근 권한이 없음</x:t>
        </x:is>
      </x:c>
      <x:c r="D39" s="46" t="inlineStr">
        <x:is>
          <x:t xml:space="preserve">목록으로 이동하거나 삭제 상태 반영</x:t>
        </x:is>
      </x:c>
      <x:c r="E39" s="68" t="inlineStr">
        <x:is>
          <x:t xml:space="preserve">현재 구현</x:t>
        </x:is>
      </x:c>
    </x:row>
    <x:row r="40">
      <x:c r="A40" s="69" t="inlineStr">
        <x:is>
          <x:t xml:space="preserve">401 Unauthorized</x:t>
        </x:is>
      </x:c>
      <x:c r="B40" s="47" t="inlineStr">
        <x:is>
          <x:t xml:space="preserve">UNAUTHORIZED</x:t>
        </x:is>
      </x:c>
      <x:c r="C40" s="47" t="inlineStr">
        <x:is>
          <x:t xml:space="preserve">인증 쿠키가 없거나 유효하지 않음</x:t>
        </x:is>
      </x:c>
      <x:c r="D40" s="47" t="inlineStr">
        <x:is>
          <x:t xml:space="preserve">로그인 화면으로 이동</x:t>
        </x:is>
      </x:c>
      <x:c r="E40" s="70" t="inlineStr">
        <x:is>
          <x:t xml:space="preserve">계약 정의·인증 미구현</x:t>
        </x:is>
      </x:c>
    </x:row>
    <x:row r="41">
      <x:c r="A41" s="71" t="inlineStr">
        <x:is>
          <x:t xml:space="preserve">500 Internal Server Error</x:t>
        </x:is>
      </x:c>
      <x:c r="B41" s="48" t="inlineStr">
        <x:is>
          <x:t xml:space="preserve">INTERNAL_ERROR</x:t>
        </x:is>
      </x:c>
      <x:c r="C41" s="48" t="inlineStr">
        <x:is>
          <x:t xml:space="preserve">예상하지 못한 서버 오류</x:t>
        </x:is>
      </x:c>
      <x:c r="D41" s="48" t="inlineStr">
        <x:is>
          <x:t xml:space="preserve">재시도 안내 후 지속 시 오류 정보 전달</x:t>
        </x:is>
      </x:c>
      <x:c r="E41" s="72" t="inlineStr">
        <x:is>
          <x:t xml:space="preserve">현재 구현</x:t>
        </x:is>
      </x:c>
    </x:row>
  </x:sheetData>
  <x:mergeCells>
    <x:mergeCell ref="A4:H4"/>
    <x:mergeCell ref="A15:H15"/>
    <x:mergeCell ref="A10:H10"/>
    <x:mergeCell ref="B2:H2"/>
    <x:mergeCell ref="A11:H11"/>
    <x:mergeCell ref="A13:H13"/>
    <x:mergeCell ref="A14:H14"/>
    <x:mergeCell ref="A1:H1"/>
    <x:mergeCell ref="A37:H37"/>
    <x:mergeCell ref="A22:H22"/>
    <x:mergeCell ref="A17:H17"/>
  </x:mergeCells>
  <x:pageMargins left="0.7" right="0.7" top="0.75" bottom="0.75" header="0.3" footer="0.3"/>
  <x:pageSetup paperSize="9" orientation="landscape" fitToWidth="1" fitToHeight="0"/>
  <x:tableParts count="3">
    <x:tablePart xmlns:r="http://schemas.openxmlformats.org/officeDocument/2006/relationships" r:id="R76c50de904c54ad0"/>
    <x:tablePart xmlns:r="http://schemas.openxmlformats.org/officeDocument/2006/relationships" r:id="R3dced20f9af5468a"/>
    <x:tablePart xmlns:r="http://schemas.openxmlformats.org/officeDocument/2006/relationships" r:id="Rfb610b31d7d2457d"/>
  </x:tableParts>
</x:worksheet>
</file>

<file path=xl/worksheets/sheet3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3.890000343322754" hidden="0" customWidth="1"/>
    <x:col min="2" max="2" width="23.329999923706055" hidden="0" customWidth="1"/>
    <x:col min="3" max="3" width="14.4399995803833" hidden="0" customWidth="1"/>
    <x:col min="4" max="4" width="31.670000076293945" hidden="0" customWidth="1"/>
    <x:col min="5" max="5" width="27.780000686645508" hidden="0" customWidth="1"/>
    <x:col min="6" max="6" width="16.110000610351562" hidden="0" customWidth="1"/>
    <x:col min="7" max="7" width="16.110000610351562" hidden="0" customWidth="1"/>
    <x:col min="8" max="8" width="21.110000610351562" hidden="0" customWidth="1"/>
  </x:cols>
  <x:sheetData>
    <x:row r="1" ht="25.5" customHeight="1">
      <x:c r="A1" s="200" t="str">
        <x:v>API-030 · 내 자기소개서 첨삭 상태 SSE</x:v>
      </x:c>
      <x:c r="B1" s="200"/>
      <x:c r="C1" s="200"/>
      <x:c r="D1" s="200"/>
      <x:c r="E1" s="200"/>
      <x:c r="F1" s="200"/>
      <x:c r="G1" s="200"/>
      <x:c r="H1" s="200"/>
    </x:row>
    <x:row r="2" ht="18" customHeight="1">
      <x:c r="A2" s="203" t="str">
        <x:f>IFERROR(HYPERLINK("#'API 목차'!A1","← API 목차로 돌아가기"),"← API 목차로 돌아가기")</x:f>
        <x:v>← API 목차로 돌아가기</x:v>
      </x:c>
      <x:c r="B2" s="203"/>
      <x:c r="C2" s="203"/>
      <x:c r="D2" s="203"/>
      <x:c r="E2" s="204" t="str">
        <x:v>GET /cover-letters/stream</x:v>
      </x:c>
      <x:c r="F2" s="204"/>
      <x:c r="G2" s="204"/>
      <x:c r="H2" s="204"/>
    </x:row>
    <x:row r="4" ht="19.5" customHeight="1">
      <x:c r="A4" s="208" t="str">
        <x:v>API 개요</x:v>
      </x:c>
      <x:c r="B4" s="208"/>
      <x:c r="C4" s="208"/>
      <x:c r="D4" s="208"/>
      <x:c r="E4" s="208"/>
      <x:c r="F4" s="208"/>
      <x:c r="G4" s="208"/>
      <x:c r="H4" s="208"/>
    </x:row>
    <x:row r="5" ht="22.5" customHeight="1">
      <x:c r="A5" s="213" t="str">
        <x:v>Method</x:v>
      </x:c>
      <x:c r="B5" s="177" t="str">
        <x:v>GET</x:v>
      </x:c>
      <x:c r="C5" s="213" t="str">
        <x:v>Path</x:v>
      </x:c>
      <x:c r="D5" s="177" t="str">
        <x:v>/cover-letters/stream</x:v>
      </x:c>
      <x:c r="E5" s="213" t="str">
        <x:v>성공 상태</x:v>
      </x:c>
      <x:c r="F5" s="177" t="str">
        <x:v>200 OK (text/event-stream)</x:v>
      </x:c>
      <x:c r="G5" s="213" t="str">
        <x:v>가용 상태</x:v>
      </x:c>
      <x:c r="H5" s="177" t="str">
        <x:v>미구현·호출 금지</x:v>
      </x:c>
    </x:row>
    <x:row r="6" ht="22.5" customHeight="1">
      <x:c r="A6" s="213" t="str">
        <x:v>기능</x:v>
      </x:c>
      <x:c r="B6" s="177" t="str">
        <x:v>내 자기소개서 첨삭 상태 SSE</x:v>
      </x:c>
      <x:c r="C6" s="177"/>
      <x:c r="D6" s="177"/>
      <x:c r="E6" s="213" t="str">
        <x:v>인증</x:v>
      </x:c>
      <x:c r="F6" s="177" t="str">
        <x:v>access_token cookie 필요 (인증 미구현)</x:v>
      </x:c>
      <x:c r="G6" s="213" t="str">
        <x:v>CSRF</x:v>
      </x:c>
      <x:c r="H6" s="177" t="str">
        <x:v>불필요</x:v>
      </x:c>
    </x:row>
    <x:row r="7" ht="22.5" customHeight="1">
      <x:c r="A7" s="213" t="str">
        <x:v>FE 호출</x:v>
      </x:c>
      <x:c r="B7" s="177" t="str">
        <x:v>EventSource 또는 fetch stream, credentials 포함</x:v>
      </x:c>
      <x:c r="C7" s="177"/>
      <x:c r="D7" s="177"/>
      <x:c r="E7" s="213" t="str">
        <x:v>계약 구현</x:v>
      </x:c>
      <x:c r="F7" s="177" t="str">
        <x:v>미구현·호출 금지</x:v>
      </x:c>
      <x:c r="G7" s="177"/>
      <x:c r="H7" s="177"/>
    </x:row>
    <x:row r="8" ht="22.5" customHeight="1">
      <x:c r="A8" s="213" t="str">
        <x:v>최근 변경일</x:v>
      </x:c>
      <x:c r="B8" s="177" t="str">
        <x:v>2026-07-16</x:v>
      </x:c>
      <x:c r="C8" s="177"/>
      <x:c r="D8" s="177"/>
      <x:c r="E8" s="213" t="str">
        <x:v>최근 변경시각</x:v>
      </x:c>
      <x:c r="F8" s="177" t="str">
        <x:v>02:52:37 Asia/Seoul</x:v>
      </x:c>
      <x:c r="G8" s="177"/>
      <x:c r="H8" s="177"/>
    </x:row>
    <x:row r="10" ht="19.5" customHeight="1">
      <x:c r="A10" s="208" t="str">
        <x:v>실제 요청 형식 (HTTP Request)</x:v>
      </x:c>
      <x:c r="B10" s="208"/>
      <x:c r="C10" s="208"/>
      <x:c r="D10" s="208"/>
      <x:c r="E10" s="208"/>
      <x:c r="F10" s="208"/>
      <x:c r="G10" s="208"/>
      <x:c r="H10" s="208"/>
    </x:row>
    <x:row r="11" ht="55.5" customHeight="1">
      <x:c r="A11" s="221" t="str">
        <x:v>GET /cover-letters/stream HTTP/1.1
Accept: text/event-stream
Cache-Control: no-cache
Cookie: access_token=&lt;access_token&gt;</x:v>
      </x:c>
      <x:c r="B11" s="222"/>
      <x:c r="C11" s="222"/>
      <x:c r="D11" s="222"/>
      <x:c r="E11" s="222"/>
      <x:c r="F11" s="222"/>
      <x:c r="G11" s="222"/>
      <x:c r="H11" s="223"/>
    </x:row>
    <x:row r="13" ht="19.5" customHeight="1">
      <x:c r="A13" s="208" t="str">
        <x:v>실제 성공 응답 형식 (HTTP Response)</x:v>
      </x:c>
      <x:c r="B13" s="208"/>
      <x:c r="C13" s="208"/>
      <x:c r="D13" s="208"/>
      <x:c r="E13" s="208"/>
      <x:c r="F13" s="208"/>
      <x:c r="G13" s="208"/>
      <x:c r="H13" s="208"/>
    </x:row>
    <x:row r="14" ht="75" customHeight="1">
      <x:c r="A14" s="221" t="str">
        <x:v>HTTP/1.1 200 OK
Content-Type: text/event-stream
event: cover-letter.review-status.changed
data: {"coverLetterId":"cl_01HZ...","coverLetterStatus":"REVIEWED","latestReviewVersionId":"rv_01HZ...","activeReviewJob":{"jobId":"job_01HZ...","type":"COVER_LETTER_RE_REVIEW","status":"PROCESSING"}}</x:v>
      </x:c>
      <x:c r="B14" s="222"/>
      <x:c r="C14" s="222"/>
      <x:c r="D14" s="222"/>
      <x:c r="E14" s="222"/>
      <x:c r="F14" s="222"/>
      <x:c r="G14" s="222"/>
      <x:c r="H14" s="223"/>
    </x:row>
    <x:row r="16" ht="19.5" customHeight="1">
      <x:c r="A16" s="208" t="str">
        <x:v>요청 필드 설명</x:v>
      </x:c>
      <x:c r="B16" s="208"/>
      <x:c r="C16" s="208"/>
      <x:c r="D16" s="208"/>
      <x:c r="E16" s="208"/>
      <x:c r="F16" s="208"/>
      <x:c r="G16" s="208"/>
      <x:c r="H16" s="208"/>
    </x:row>
    <x:row r="17" ht="18" customHeight="1">
      <x:c r="A17" s="228" t="str">
        <x:v>위치</x:v>
      </x:c>
      <x:c r="B17" s="228" t="str">
        <x:v>필드 경로</x:v>
      </x:c>
      <x:c r="C17" s="228" t="str">
        <x:v>타입</x:v>
      </x:c>
      <x:c r="D17" s="228" t="str">
        <x:v>필수 여부</x:v>
      </x:c>
      <x:c r="E17" s="228" t="str">
        <x:v>의미·제약</x:v>
      </x:c>
      <x:c r="F17" s="228"/>
      <x:c r="G17" s="228"/>
      <x:c r="H17" s="228"/>
    </x:row>
    <x:row r="18" ht="18" customHeight="1">
      <x:c r="A18" s="233" t="str">
        <x:v>header</x:v>
      </x:c>
      <x:c r="B18" s="233" t="str">
        <x:v>Accept</x:v>
      </x:c>
      <x:c r="C18" s="233" t="str">
        <x:v>string</x:v>
      </x:c>
      <x:c r="D18" s="233" t="str">
        <x:v>필수</x:v>
      </x:c>
      <x:c r="E18" s="233" t="str">
        <x:v>text/event-stream</x:v>
      </x:c>
      <x:c r="F18" s="233"/>
      <x:c r="G18" s="233"/>
      <x:c r="H18" s="233"/>
    </x:row>
    <x:row r="19" ht="18" customHeight="1">
      <x:c r="A19" s="233" t="str">
        <x:v>cookie</x:v>
      </x:c>
      <x:c r="B19" s="233" t="str">
        <x:v>access_token</x:v>
      </x:c>
      <x:c r="C19" s="233" t="str">
        <x:v>string</x:v>
      </x:c>
      <x:c r="D19" s="233" t="str">
        <x:v>계약상 필수</x:v>
      </x:c>
      <x:c r="E19" s="233" t="str">
        <x:v>사용자당 단일 EventSource 연결, cookie 포함</x:v>
      </x:c>
      <x:c r="F19" s="233"/>
      <x:c r="G19" s="233"/>
      <x:c r="H19" s="233"/>
    </x:row>
    <x:row r="21" ht="19.5" customHeight="1">
      <x:c r="A21" s="208" t="str">
        <x:v>응답 필드 설명</x:v>
      </x:c>
      <x:c r="B21" s="208"/>
      <x:c r="C21" s="208"/>
      <x:c r="D21" s="208"/>
      <x:c r="E21" s="208"/>
      <x:c r="F21" s="208"/>
      <x:c r="G21" s="208"/>
      <x:c r="H21" s="208"/>
    </x:row>
    <x:row r="22" ht="18" customHeight="1">
      <x:c r="A22" s="228" t="str">
        <x:v>위치</x:v>
      </x:c>
      <x:c r="B22" s="228" t="str">
        <x:v>필드 경로</x:v>
      </x:c>
      <x:c r="C22" s="228" t="str">
        <x:v>타입</x:v>
      </x:c>
      <x:c r="D22" s="228" t="str">
        <x:v>필수 여부</x:v>
      </x:c>
      <x:c r="E22" s="228" t="str">
        <x:v>의미·제약</x:v>
      </x:c>
      <x:c r="F22" s="228"/>
      <x:c r="G22" s="228"/>
      <x:c r="H22" s="228"/>
    </x:row>
    <x:row r="23" ht="18" customHeight="1">
      <x:c r="A23" s="233" t="str">
        <x:v>event</x:v>
      </x:c>
      <x:c r="B23" s="233" t="str">
        <x:v>cover-letter.review-status.changed</x:v>
      </x:c>
      <x:c r="C23" s="233" t="str">
        <x:v>SSE event</x:v>
      </x:c>
      <x:c r="D23" s="233" t="str">
        <x:v>필수</x:v>
      </x:c>
      <x:c r="E23" s="233" t="str">
        <x:v>연결 시 활성 Job 스냅샷과 이후 시작/완료/실패 변경</x:v>
      </x:c>
      <x:c r="F23" s="233"/>
      <x:c r="G23" s="233"/>
      <x:c r="H23" s="233"/>
    </x:row>
    <x:row r="24" ht="18" customHeight="1">
      <x:c r="A24" s="233" t="str">
        <x:v>data</x:v>
      </x:c>
      <x:c r="B24" s="233" t="str">
        <x:v>coverLetterId</x:v>
      </x:c>
      <x:c r="C24" s="233" t="str">
        <x:v>string</x:v>
      </x:c>
      <x:c r="D24" s="233" t="str">
        <x:v>필수</x:v>
      </x:c>
      <x:c r="E24" s="233" t="str">
        <x:v>갱신할 목록 항목 ID</x:v>
      </x:c>
      <x:c r="F24" s="233"/>
      <x:c r="G24" s="233"/>
      <x:c r="H24" s="233"/>
    </x:row>
    <x:row r="25" ht="18" customHeight="1">
      <x:c r="A25" s="233" t="str">
        <x:v>data</x:v>
      </x:c>
      <x:c r="B25" s="233" t="str">
        <x:v>coverLetterStatus</x:v>
      </x:c>
      <x:c r="C25" s="233" t="str">
        <x:v>string</x:v>
      </x:c>
      <x:c r="D25" s="233" t="str">
        <x:v>필수</x:v>
      </x:c>
      <x:c r="E25" s="233" t="str">
        <x:v>현재 CoverLetter.status</x:v>
      </x:c>
      <x:c r="F25" s="233"/>
      <x:c r="G25" s="233"/>
      <x:c r="H25" s="233"/>
    </x:row>
    <x:row r="26" ht="18" customHeight="1">
      <x:c r="A26" s="233" t="str">
        <x:v>data</x:v>
      </x:c>
      <x:c r="B26" s="233" t="str">
        <x:v>latestReviewVersionId</x:v>
      </x:c>
      <x:c r="C26" s="233" t="str">
        <x:v>string</x:v>
      </x:c>
      <x:c r="D26" s="233" t="str">
        <x:v>nullable</x:v>
      </x:c>
      <x:c r="E26" s="233" t="str">
        <x:v>성공한 최신 첨삭 버전 ID</x:v>
      </x:c>
      <x:c r="F26" s="233"/>
      <x:c r="G26" s="233"/>
      <x:c r="H26" s="233"/>
    </x:row>
    <x:row r="27" ht="18" customHeight="1">
      <x:c r="A27" s="233" t="str">
        <x:v>data</x:v>
      </x:c>
      <x:c r="B27" s="233" t="str">
        <x:v>activeReviewJob</x:v>
      </x:c>
      <x:c r="C27" s="233" t="str">
        <x:v>object</x:v>
      </x:c>
      <x:c r="D27" s="233" t="str">
        <x:v>nullable</x:v>
      </x:c>
      <x:c r="E27" s="233" t="str">
        <x:v>완료/실패 후 null</x:v>
      </x:c>
      <x:c r="F27" s="233"/>
      <x:c r="G27" s="233"/>
      <x:c r="H27" s="233"/>
    </x:row>
    <x:row r="28" ht="18" customHeight="1">
      <x:c r="A28" s="233" t="str">
        <x:v>data</x:v>
      </x:c>
      <x:c r="B28" s="233" t="str">
        <x:v>activeReviewJob.jobId</x:v>
      </x:c>
      <x:c r="C28" s="233" t="str">
        <x:v>string</x:v>
      </x:c>
      <x:c r="D28" s="233" t="str">
        <x:v>조건부</x:v>
      </x:c>
      <x:c r="E28" s="233" t="str">
        <x:v>활성 첨삭 Job ID</x:v>
      </x:c>
      <x:c r="F28" s="233"/>
      <x:c r="G28" s="233"/>
      <x:c r="H28" s="233"/>
    </x:row>
    <x:row r="29" ht="18" customHeight="1">
      <x:c r="A29" s="233" t="str">
        <x:v>data</x:v>
      </x:c>
      <x:c r="B29" s="233" t="str">
        <x:v>activeReviewJob.type</x:v>
      </x:c>
      <x:c r="C29" s="233" t="str">
        <x:v>string</x:v>
      </x:c>
      <x:c r="D29" s="233" t="str">
        <x:v>조건부</x:v>
      </x:c>
      <x:c r="E29" s="233" t="str">
        <x:v>최초 첨삭 또는 재첨삭</x:v>
      </x:c>
      <x:c r="F29" s="233"/>
      <x:c r="G29" s="233"/>
      <x:c r="H29" s="233"/>
    </x:row>
    <x:row r="30" ht="18" customHeight="1">
      <x:c r="A30" s="233" t="str">
        <x:v>data</x:v>
      </x:c>
      <x:c r="B30" s="233" t="str">
        <x:v>activeReviewJob.status</x:v>
      </x:c>
      <x:c r="C30" s="233" t="str">
        <x:v>string</x:v>
      </x:c>
      <x:c r="D30" s="233" t="str">
        <x:v>조건부</x:v>
      </x:c>
      <x:c r="E30" s="233" t="str">
        <x:v>PENDING | PROCESSING</x:v>
      </x:c>
      <x:c r="F30" s="233"/>
      <x:c r="G30" s="233"/>
      <x:c r="H30" s="233"/>
    </x:row>
    <x:row r="32" ht="19.5" customHeight="1">
      <x:c r="A32" s="208" t="str">
        <x:v>오류 응답</x:v>
      </x:c>
      <x:c r="B32" s="208"/>
      <x:c r="C32" s="208"/>
      <x:c r="D32" s="208"/>
      <x:c r="E32" s="208"/>
      <x:c r="F32" s="208"/>
      <x:c r="G32" s="208"/>
      <x:c r="H32" s="208"/>
    </x:row>
    <x:row r="33">
      <x:c r="A33" s="228" t="str">
        <x:v>HTTP 상태</x:v>
      </x:c>
      <x:c r="B33" s="228" t="str">
        <x:v>오류 코드</x:v>
      </x:c>
      <x:c r="C33" s="228" t="str">
        <x:v>발생 조건</x:v>
      </x:c>
      <x:c r="D33" s="228" t="str">
        <x:v>프론트 처리</x:v>
      </x:c>
      <x:c r="E33" s="228"/>
      <x:c r="F33" s="228" t="str">
        <x:v>현재 상태</x:v>
      </x:c>
      <x:c r="G33" s="228"/>
      <x:c r="H33" s="228"/>
    </x:row>
    <x:row r="34" ht="21" customHeight="1">
      <x:c r="A34" s="233" t="str">
        <x:v>401 Unauthorized</x:v>
      </x:c>
      <x:c r="B34" s="233" t="str">
        <x:v>UNAUTHORIZED</x:v>
      </x:c>
      <x:c r="C34" s="233" t="str">
        <x:v>인증 cookie가 없거나 유효하지 않음</x:v>
      </x:c>
      <x:c r="D34" s="233" t="str">
        <x:v>로그인 화면으로 이동</x:v>
      </x:c>
      <x:c r="E34" s="233"/>
      <x:c r="F34" s="233" t="str">
        <x:v>계약 정의·인증 미구현</x:v>
      </x:c>
      <x:c r="G34" s="233"/>
      <x:c r="H34" s="233"/>
    </x:row>
    <x:row r="35" ht="21" customHeight="1">
      <x:c r="A35" s="233" t="str">
        <x:v>500 Internal Server Error</x:v>
      </x:c>
      <x:c r="B35" s="233" t="str">
        <x:v>INTERNAL_ERROR</x:v>
      </x:c>
      <x:c r="C35" s="233" t="str">
        <x:v>SSE 연결 또는 이벤트 처리 오류</x:v>
      </x:c>
      <x:c r="D35" s="233" t="str">
        <x:v>재연결 후 지속 시 오류 안내</x:v>
      </x:c>
      <x:c r="E35" s="233"/>
      <x:c r="F35" s="233" t="str">
        <x:v>구현 예정</x:v>
      </x:c>
      <x:c r="G35" s="233"/>
      <x:c r="H35" s="233"/>
    </x:row>
    <x:row r="37" ht="19.5" customHeight="1">
      <x:c r="A37" s="208" t="str">
        <x:v>프론트엔드 구현 메모</x:v>
      </x:c>
      <x:c r="B37" s="208"/>
      <x:c r="C37" s="208"/>
      <x:c r="D37" s="208"/>
      <x:c r="E37" s="208"/>
      <x:c r="F37" s="208"/>
      <x:c r="G37" s="208"/>
      <x:c r="H37" s="208"/>
    </x:row>
    <x:row r="38" ht="36" customHeight="1">
      <x:c r="A38" s="233" t="str">
        <x:v>카드별 연결이 아니라 사용자당 하나의 연결을 유지한다. 현재 페이지와 무관하게 현재 사용자의 모든 자기소개서 이벤트를 받으며, FE는 목록에 없는 coverLetterId를 무시한다. 재연결 시 활성 Job 스냅샷을 다시 받고 Last-Event-ID 영속 replay는 사용하지 않는다.</x:v>
      </x:c>
      <x:c r="B38" s="233"/>
      <x:c r="C38" s="233"/>
      <x:c r="D38" s="233"/>
      <x:c r="E38" s="233"/>
      <x:c r="F38" s="233"/>
      <x:c r="G38" s="233"/>
      <x:c r="H38" s="233"/>
    </x:row>
  </x:sheetData>
  <x:mergeCells>
    <x:mergeCell ref="A1:H1"/>
    <x:mergeCell ref="A2:D2"/>
    <x:mergeCell ref="E2:H2"/>
    <x:mergeCell ref="A4:H4"/>
    <x:mergeCell ref="B6:D6"/>
    <x:mergeCell ref="F7:H7"/>
    <x:mergeCell ref="B7:D7"/>
    <x:mergeCell ref="B8:D8"/>
    <x:mergeCell ref="F8:H8"/>
    <x:mergeCell ref="A10:H10"/>
    <x:mergeCell ref="A11:H11"/>
    <x:mergeCell ref="A13:H13"/>
    <x:mergeCell ref="A14:H14"/>
    <x:mergeCell ref="A16:H16"/>
    <x:mergeCell ref="E17:H17"/>
    <x:mergeCell ref="E18:H18"/>
    <x:mergeCell ref="E19:H19"/>
    <x:mergeCell ref="A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A32:H32"/>
    <x:mergeCell ref="D33:E33"/>
    <x:mergeCell ref="F33:H33"/>
    <x:mergeCell ref="D34:E34"/>
    <x:mergeCell ref="F34:H34"/>
    <x:mergeCell ref="D35:E35"/>
    <x:mergeCell ref="F35:H35"/>
    <x:mergeCell ref="A37:H37"/>
    <x:mergeCell ref="A38:H38"/>
  </x:mergeCells>
  <x:pageMargins left="0.7" right="0.7" top="0.75" bottom="0.75" header="0.3" footer="0.3"/>
  <x:pageSetup paperSize="9" orientation="landscape" fitToWidth="1" fitToHeight="0"/>
</x:worksheet>
</file>